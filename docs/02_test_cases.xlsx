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cases" sheetId="2" state="visible" r:id="rId4"/>
    <sheet name="Phase 1" sheetId="3" state="visible" r:id="rId5"/>
    <sheet name="Phase 2" sheetId="4" state="visible" r:id="rId6"/>
    <sheet name="Phase 3" sheetId="5" state="visible" r:id="rId7"/>
    <sheet name="Cross-cutt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<sst xmlns="http://schemas.openxmlformats.org/spreadsheetml/2006/main" count="1680" uniqueCount="433">
  <si>
    <t xml:space="preserve">Module</t>
  </si>
  <si>
    <t xml:space="preserve">Total Cases</t>
  </si>
  <si>
    <t xml:space="preserve">High</t>
  </si>
  <si>
    <t xml:space="preserve">Med</t>
  </si>
  <si>
    <t xml:space="preserve">Low</t>
  </si>
  <si>
    <t xml:space="preserve">Phase 1 - Farm Mgmt</t>
  </si>
  <si>
    <t xml:space="preserve">Phase 2 - Marketplace</t>
  </si>
  <si>
    <t xml:space="preserve">Phase 3 - Investment</t>
  </si>
  <si>
    <t xml:space="preserve">Cross-cutting</t>
  </si>
  <si>
    <t xml:space="preserve">TOTAL</t>
  </si>
  <si>
    <t xml:space="preserve">ID</t>
  </si>
  <si>
    <t xml:space="preserve">Title</t>
  </si>
  <si>
    <t xml:space="preserve">Pre-conditions</t>
  </si>
  <si>
    <t xml:space="preserve">Steps</t>
  </si>
  <si>
    <t xml:space="preserve">Expected Result</t>
  </si>
  <si>
    <t xml:space="preserve">Test Type</t>
  </si>
  <si>
    <t xml:space="preserve">Priority</t>
  </si>
  <si>
    <t xml:space="preserve">Phase</t>
  </si>
  <si>
    <t xml:space="preserve">Status</t>
  </si>
  <si>
    <t xml:space="preserve">AM-001</t>
  </si>
  <si>
    <t xml:space="preserve">Animal Mgmt</t>
  </si>
  <si>
    <t xml:space="preserve">Tạo vật nuôi với mã định danh duy nhất</t>
  </si>
  <si>
    <t xml:space="preserve">Đăng nhập với role FarmOwner. Có ít nhất 1 chuồng.</t>
  </si>
  <si>
    <t xml:space="preserve">1. Vào /app/animals.
2. Bấm "Thêm".
3. Nhập Code/Name/Species/Cage/DateOfBirth.
4. Lưu.</t>
  </si>
  <si>
    <t xml:space="preserve">API trả 200 + GUID. Vật nuôi xuất hiện trong list.</t>
  </si>
  <si>
    <t xml:space="preserve">Functional</t>
  </si>
  <si>
    <t xml:space="preserve">P1</t>
  </si>
  <si>
    <t xml:space="preserve">New</t>
  </si>
  <si>
    <t xml:space="preserve">AM-002</t>
  </si>
  <si>
    <t xml:space="preserve">Trùng mã + tên không cho phép</t>
  </si>
  <si>
    <t xml:space="preserve">Đã có vật nuôi (Code=A1, Name=Bambi).</t>
  </si>
  <si>
    <t xml:space="preserve">Tạo mới với Code=A1, Name=Bambi.</t>
  </si>
  <si>
    <t xml:space="preserve">API trả 400/500 do unique constraint.</t>
  </si>
  <si>
    <t xml:space="preserve">Negative</t>
  </si>
  <si>
    <t xml:space="preserve">AM-003</t>
  </si>
  <si>
    <t xml:space="preserve">Cập nhật cân nặng &amp; chiều cao</t>
  </si>
  <si>
    <t xml:space="preserve">Đã có vật nuôi.</t>
  </si>
  <si>
    <t xml:space="preserve">Mở dialog edit, sửa weight &amp; height, Save.</t>
  </si>
  <si>
    <t xml:space="preserve">Cân nặng/chiều cao mới cập nhật; Audit log sinh ra.</t>
  </si>
  <si>
    <t xml:space="preserve">AM-004</t>
  </si>
  <si>
    <t xml:space="preserve">Soft check - Vật nuôi không có chuồng</t>
  </si>
  <si>
    <t xml:space="preserve">Chưa có Cage nào.</t>
  </si>
  <si>
    <t xml:space="preserve">Tạo Animal khi chưa có cage.</t>
  </si>
  <si>
    <t xml:space="preserve">Form bắt buộc chọn Cage; nếu submit, API 400.</t>
  </si>
  <si>
    <t xml:space="preserve">VAC-001</t>
  </si>
  <si>
    <t xml:space="preserve">Vaccine</t>
  </si>
  <si>
    <t xml:space="preserve">Tạo Vaccine catalog</t>
  </si>
  <si>
    <t xml:space="preserve">Login Admin.</t>
  </si>
  <si>
    <t xml:space="preserve">1. POST /api/v1/vaccines với Name="Cúm gia cầm", IntervalDays=180.</t>
  </si>
  <si>
    <t xml:space="preserve">Trả 200 + GUID; record có IsActive=true.</t>
  </si>
  <si>
    <t xml:space="preserve">VAC-002</t>
  </si>
  <si>
    <t xml:space="preserve">Tạo lịch tiêm hợp lệ</t>
  </si>
  <si>
    <t xml:space="preserve">Có vaccine + animal.</t>
  </si>
  <si>
    <t xml:space="preserve">1. Vào tab Vaccine của animal. 2. Chọn vaccine. 3. Đặt ngày trong tương lai. 4. Save.</t>
  </si>
  <si>
    <t xml:space="preserve">Schedule status=Scheduled, hiển thị trên tab Lịch sắp tới.</t>
  </si>
  <si>
    <t xml:space="preserve">VAC-003</t>
  </si>
  <si>
    <t xml:space="preserve">Lịch tiêm với ngày quá khứ</t>
  </si>
  <si>
    <t xml:space="preserve">Tạo schedule với ScheduledDate = hôm qua.</t>
  </si>
  <si>
    <t xml:space="preserve">API trả 400 với message "ScheduledDate must be today or later."</t>
  </si>
  <si>
    <t xml:space="preserve">VAC-004</t>
  </si>
  <si>
    <t xml:space="preserve">Đánh dấu đã tiêm</t>
  </si>
  <si>
    <t xml:space="preserve">Có schedule status=Scheduled.</t>
  </si>
  <si>
    <t xml:space="preserve">Bấm "Đã tiêm", nhập tên người tiêm.</t>
  </si>
  <si>
    <t xml:space="preserve">Status=Administered, AdministeredDate=hôm nay, AdministeredBy đúng.</t>
  </si>
  <si>
    <t xml:space="preserve">VAC-005</t>
  </si>
  <si>
    <t xml:space="preserve">Hangfire VaccineReminderJob - quá hạn</t>
  </si>
  <si>
    <t xml:space="preserve">Có schedule với ScheduledDate=hôm qua, ReminderSent=false.</t>
  </si>
  <si>
    <t xml:space="preserve">Trigger thủ công VaccineReminderJob.</t>
  </si>
  <si>
    <t xml:space="preserve">Schedule.Status=Missed, ReminderSent=true. Alert.Type=MissedVaccine, Severity=Critical sinh ra.</t>
  </si>
  <si>
    <t xml:space="preserve">Integration</t>
  </si>
  <si>
    <t xml:space="preserve">VAC-006</t>
  </si>
  <si>
    <t xml:space="preserve">Hangfire VaccineReminderJob - sắp đến hạn</t>
  </si>
  <si>
    <t xml:space="preserve">Có schedule với ScheduledDate=ngày mai.</t>
  </si>
  <si>
    <t xml:space="preserve">Trigger VaccineReminderJob.</t>
  </si>
  <si>
    <t xml:space="preserve">Alert.Type=VaccineReminder, Severity=Warning. ReminderSent=true. Status vẫn Scheduled.</t>
  </si>
  <si>
    <t xml:space="preserve">VAC-007</t>
  </si>
  <si>
    <t xml:space="preserve">Phân quyền: Buyer không xem được vaccine của animal</t>
  </si>
  <si>
    <t xml:space="preserve">Login Buyer.</t>
  </si>
  <si>
    <t xml:space="preserve">GET /api/v1/vaccines/schedules/animal/{id}.</t>
  </si>
  <si>
    <t xml:space="preserve">API trả 403.</t>
  </si>
  <si>
    <t xml:space="preserve">Security</t>
  </si>
  <si>
    <t xml:space="preserve">VAC-008</t>
  </si>
  <si>
    <t xml:space="preserve">Cập nhật ReminderSent không bị reset khi sửa</t>
  </si>
  <si>
    <t xml:space="preserve">Có schedule có ReminderSent=true.</t>
  </si>
  <si>
    <t xml:space="preserve">Cập nhật notes của schedule.</t>
  </si>
  <si>
    <t xml:space="preserve">ReminderSent vẫn = true.</t>
  </si>
  <si>
    <t xml:space="preserve">FEED-001</t>
  </si>
  <si>
    <t xml:space="preserve">Feed</t>
  </si>
  <si>
    <t xml:space="preserve">Tạo FeedItem mới</t>
  </si>
  <si>
    <t xml:space="preserve">Login FarmOwner.</t>
  </si>
  <si>
    <t xml:space="preserve">POST /api/v1/feed/items {Code:"FD01",Name:"Cám cỏ"}.</t>
  </si>
  <si>
    <t xml:space="preserve">Trả 200 + GUID, item xuất hiện trong list.</t>
  </si>
  <si>
    <t xml:space="preserve">FEED-002</t>
  </si>
  <si>
    <t xml:space="preserve">Trùng mã FeedItem</t>
  </si>
  <si>
    <t xml:space="preserve">Đã có FeedItem Code=FD01.</t>
  </si>
  <si>
    <t xml:space="preserve">Tạo lại với Code=FD01.</t>
  </si>
  <si>
    <t xml:space="preserve">API trả 400/500 unique violation.</t>
  </si>
  <si>
    <t xml:space="preserve">FEED-003</t>
  </si>
  <si>
    <t xml:space="preserve">Nhập kho - tăng tồn kho</t>
  </si>
  <si>
    <t xml:space="preserve">FeedItem FD01 tồn 0kg.</t>
  </si>
  <si>
    <t xml:space="preserve">POST transaction Type=In, Qty=100.</t>
  </si>
  <si>
    <t xml:space="preserve">Summary.Stock = 100. TotalIn = 100.</t>
  </si>
  <si>
    <t xml:space="preserve">FEED-004</t>
  </si>
  <si>
    <t xml:space="preserve">Xuất kho khi không đủ tồn</t>
  </si>
  <si>
    <t xml:space="preserve">Tồn FD01 = 5kg.</t>
  </si>
  <si>
    <t xml:space="preserve">POST transaction Type=Out, Qty=10.</t>
  </si>
  <si>
    <t xml:space="preserve">API trả 400 "Insufficient stock. Available: 5, requested: 10."</t>
  </si>
  <si>
    <t xml:space="preserve">FEED-005</t>
  </si>
  <si>
    <t xml:space="preserve">Xuất kho hợp lệ</t>
  </si>
  <si>
    <t xml:space="preserve">Tồn FD01 = 50kg.</t>
  </si>
  <si>
    <t xml:space="preserve">POST Type=Out, Qty=20.</t>
  </si>
  <si>
    <t xml:space="preserve">Trả 200. Summary.Stock = 30.</t>
  </si>
  <si>
    <t xml:space="preserve">FEED-006</t>
  </si>
  <si>
    <t xml:space="preserve">Hangfire FeedLowStockJob</t>
  </si>
  <si>
    <t xml:space="preserve">Tồn FD01 = 10kg, threshold = 20kg.</t>
  </si>
  <si>
    <t xml:space="preserve">Trigger FeedLowStockJob.</t>
  </si>
  <si>
    <t xml:space="preserve">Alert.Type=FeedLowStock sinh ra. Trang Alerts hiển thị.</t>
  </si>
  <si>
    <t xml:space="preserve">FEED-007</t>
  </si>
  <si>
    <t xml:space="preserve">Tạo FeedConsumption không gắn animal/cage</t>
  </si>
  <si>
    <t xml:space="preserve">-</t>
  </si>
  <si>
    <t xml:space="preserve">POST consumption không có AnimalId, CageId.</t>
  </si>
  <si>
    <t xml:space="preserve">API trả 400 "Consumption must reference an Animal or a Cage."</t>
  </si>
  <si>
    <t xml:space="preserve">FEED-008</t>
  </si>
  <si>
    <t xml:space="preserve">Báo cáo tồn kho theo Farm</t>
  </si>
  <si>
    <t xml:space="preserve">FarmA có 3 FeedItem với tồn khác nhau.</t>
  </si>
  <si>
    <t xml:space="preserve">GET /api/v1/feed/summary/{farmAId}.</t>
  </si>
  <si>
    <t xml:space="preserve">Trả về 3 FeedStockLevel với Stock = TotalIn - TotalOut chính xác.</t>
  </si>
  <si>
    <t xml:space="preserve">GRW-001</t>
  </si>
  <si>
    <t xml:space="preserve">GrowthLog</t>
  </si>
  <si>
    <t xml:space="preserve">Ghi nhận cân nặng mới</t>
  </si>
  <si>
    <t xml:space="preserve">Có animal.</t>
  </si>
  <si>
    <t xml:space="preserve">POST /api/v1/growth-logs Weight=45.5, RecordedAt=now.</t>
  </si>
  <si>
    <t xml:space="preserve">Trả 200 + GUID. GET By animal trả về log mới.</t>
  </si>
  <si>
    <t xml:space="preserve">GRW-002</t>
  </si>
  <si>
    <t xml:space="preserve">Cân nặng âm bị từ chối</t>
  </si>
  <si>
    <t xml:space="preserve">POST Weight=-10.</t>
  </si>
  <si>
    <t xml:space="preserve">API trả 400 (Range validation).</t>
  </si>
  <si>
    <t xml:space="preserve">GRW-003</t>
  </si>
  <si>
    <t xml:space="preserve">BCS ngoài phạm vi 1-9</t>
  </si>
  <si>
    <t xml:space="preserve">POST BodyConditionScore=10.</t>
  </si>
  <si>
    <t xml:space="preserve">API trả 400.</t>
  </si>
  <si>
    <t xml:space="preserve">GRW-004</t>
  </si>
  <si>
    <t xml:space="preserve">WeightDropDetectorJob phát hiện giảm 5%</t>
  </si>
  <si>
    <t xml:space="preserve">Animal có log 100kg cách 7+ ngày, log gần nhất 94kg.</t>
  </si>
  <si>
    <t xml:space="preserve">Trigger WeightDropDetectorJob.</t>
  </si>
  <si>
    <t xml:space="preserve">Alert.Type=WeightDrop, Severity=Warning với drop=6.0%.</t>
  </si>
  <si>
    <t xml:space="preserve">GRW-005</t>
  </si>
  <si>
    <t xml:space="preserve">StagnantGrowthJob - không tăng trong 14 ngày</t>
  </si>
  <si>
    <t xml:space="preserve">Animal có log đầu 50kg cách 14+ ngày, log sau 50kg.</t>
  </si>
  <si>
    <t xml:space="preserve">Trigger StagnantGrowthJob.</t>
  </si>
  <si>
    <t xml:space="preserve">Alert.Type=StagnantGrowth, Severity=Info.</t>
  </si>
  <si>
    <t xml:space="preserve">DIS-001</t>
  </si>
  <si>
    <t xml:space="preserve">Disease</t>
  </si>
  <si>
    <t xml:space="preserve">Ghi nhận bệnh mới</t>
  </si>
  <si>
    <t xml:space="preserve">Animal đang Healthy.</t>
  </si>
  <si>
    <t xml:space="preserve">POST /api/v1/diseases với DiseaseName, Severity=Severe, Status=Active.</t>
  </si>
  <si>
    <t xml:space="preserve">Trả 200, log xuất hiện trên tab Disease history.</t>
  </si>
  <si>
    <t xml:space="preserve">DIS-002</t>
  </si>
  <si>
    <t xml:space="preserve">Liên kết Treatment với DiseaseRecord</t>
  </si>
  <si>
    <t xml:space="preserve">Có DiseaseRecord ID=X.</t>
  </si>
  <si>
    <t xml:space="preserve">POST treatment với DiseaseRecordId=X, Medication=Antibiotic.</t>
  </si>
  <si>
    <t xml:space="preserve">Treatment.DiseaseRecordId=X. GET treatments/animal trả về treatment với DiseaseName.</t>
  </si>
  <si>
    <t xml:space="preserve">DIS-003</t>
  </si>
  <si>
    <t xml:space="preserve">Treatment không cần Disease</t>
  </si>
  <si>
    <t xml:space="preserve">Animal khỏe, treatment mang tính phòng ngừa.</t>
  </si>
  <si>
    <t xml:space="preserve">POST treatment với DiseaseRecordId=null.</t>
  </si>
  <si>
    <t xml:space="preserve">Trả 200. Treatment.DiseaseRecordId=null.</t>
  </si>
  <si>
    <t xml:space="preserve">ALT-001</t>
  </si>
  <si>
    <t xml:space="preserve">Alert</t>
  </si>
  <si>
    <t xml:space="preserve">Lấy alerts chưa đọc</t>
  </si>
  <si>
    <t xml:space="preserve">Có 5 alert: 2 đã đọc, 3 chưa đọc.</t>
  </si>
  <si>
    <t xml:space="preserve">GET /api/v1/alerts/paging/0/20?unread=true.</t>
  </si>
  <si>
    <t xml:space="preserve">Trả về 3 alert.</t>
  </si>
  <si>
    <t xml:space="preserve">ALT-002</t>
  </si>
  <si>
    <t xml:space="preserve">Đánh dấu đã đọc</t>
  </si>
  <si>
    <t xml:space="preserve">Có alert chưa đọc.</t>
  </si>
  <si>
    <t xml:space="preserve">POST /api/v1/alerts/{id}/read.</t>
  </si>
  <si>
    <t xml:space="preserve">IsRead=true, ReadAt set, ReadByUserId = current user.</t>
  </si>
  <si>
    <t xml:space="preserve">ALT-003</t>
  </si>
  <si>
    <t xml:space="preserve">Mark all read theo farmId</t>
  </si>
  <si>
    <t xml:space="preserve">Có 4 alert ở FarmA, 2 alert ở FarmB. Tất cả unread.</t>
  </si>
  <si>
    <t xml:space="preserve">POST read-all?farmId={FarmA.id}.</t>
  </si>
  <si>
    <t xml:space="preserve">Trả 4. FarmA hết unread, FarmB còn 2.</t>
  </si>
  <si>
    <t xml:space="preserve">ALT-004</t>
  </si>
  <si>
    <t xml:space="preserve">AlertSummary đếm đúng</t>
  </si>
  <si>
    <t xml:space="preserve">Có 3 Critical + 5 Warning + 2 Info chưa đọc.</t>
  </si>
  <si>
    <t xml:space="preserve">GET /api/v1/alerts/summary.</t>
  </si>
  <si>
    <t xml:space="preserve">TotalUnread=10, CriticalUnread=3, WarningUnread=5.</t>
  </si>
  <si>
    <t xml:space="preserve">ALT-005</t>
  </si>
  <si>
    <t xml:space="preserve">SignalR push realtime</t>
  </si>
  <si>
    <t xml:space="preserve">FE đã connect NotificationHub, đã JoinFarmGroup(FarmA).</t>
  </si>
  <si>
    <t xml:space="preserve">Trigger AlertService.RaiseAlert(farmId=FarmA).</t>
  </si>
  <si>
    <t xml:space="preserve">FE nhận event "AlertCreated" trong &lt; 2 giây.</t>
  </si>
  <si>
    <t xml:space="preserve">RPT-001</t>
  </si>
  <si>
    <t xml:space="preserve">Report</t>
  </si>
  <si>
    <t xml:space="preserve">Dashboard global</t>
  </si>
  <si>
    <t xml:space="preserve">Có dữ liệu mẫu (3 farm, 10 cage, 50 animal).</t>
  </si>
  <si>
    <t xml:space="preserve">GET /api/v1/reports/dashboard.</t>
  </si>
  <si>
    <t xml:space="preserve">TotalFarms=3, TotalCages=10, TotalAnimals=50. AnimalsBySpecies có đủ.</t>
  </si>
  <si>
    <t xml:space="preserve">RPT-002</t>
  </si>
  <si>
    <t xml:space="preserve">Dashboard scoped theo farm</t>
  </si>
  <si>
    <t xml:space="preserve">Có dữ liệu nhiều farm.</t>
  </si>
  <si>
    <t xml:space="preserve">GET dashboard?farmId={FarmA}.</t>
  </si>
  <si>
    <t xml:space="preserve">TotalFarms=1, TotalCages/Animals chỉ tính FarmA.</t>
  </si>
  <si>
    <t xml:space="preserve">RPT-003</t>
  </si>
  <si>
    <t xml:space="preserve">AverageGrowth 6 tháng</t>
  </si>
  <si>
    <t xml:space="preserve">Có growth logs trải dài 7 tháng.</t>
  </si>
  <si>
    <t xml:space="preserve">GET dashboard.</t>
  </si>
  <si>
    <t xml:space="preserve">AverageGrowthByMonth có đúng 6 tháng gần nhất.</t>
  </si>
  <si>
    <t xml:space="preserve">MED-001</t>
  </si>
  <si>
    <t xml:space="preserve">Media</t>
  </si>
  <si>
    <t xml:space="preserve">Upload ảnh hợp lệ</t>
  </si>
  <si>
    <t xml:space="preserve">Login.</t>
  </si>
  <si>
    <t xml:space="preserve">POST /api/v1/media/upload?kind=AnimalPhoto + file PNG 1MB.</t>
  </si>
  <si>
    <t xml:space="preserve">Trả 200 với url + key.</t>
  </si>
  <si>
    <t xml:space="preserve">MED-002</t>
  </si>
  <si>
    <t xml:space="preserve">Upload kind không hợp lệ</t>
  </si>
  <si>
    <t xml:space="preserve">POST upload?kind=Hacked.</t>
  </si>
  <si>
    <t xml:space="preserve">API trả 400 "Invalid kind."</t>
  </si>
  <si>
    <t xml:space="preserve">MED-003</t>
  </si>
  <si>
    <t xml:space="preserve">Upload file &gt; 25MB</t>
  </si>
  <si>
    <t xml:space="preserve">Có file 30MB.</t>
  </si>
  <si>
    <t xml:space="preserve">POST upload.</t>
  </si>
  <si>
    <t xml:space="preserve">API trả 400 "File too large." (hoặc 413).</t>
  </si>
  <si>
    <t xml:space="preserve">MIG-001</t>
  </si>
  <si>
    <t xml:space="preserve">Migration</t>
  </si>
  <si>
    <t xml:space="preserve">Auto migration khởi động ứng dụng</t>
  </si>
  <si>
    <t xml:space="preserve">DB rỗng.</t>
  </si>
  <si>
    <t xml:space="preserve">Khởi động Farm.Api.</t>
  </si>
  <si>
    <t xml:space="preserve">Tất cả bảng Phase 1 + Hangfire schema được tạo.</t>
  </si>
  <si>
    <t xml:space="preserve">Smoke</t>
  </si>
  <si>
    <t xml:space="preserve">MIG-002</t>
  </si>
  <si>
    <t xml:space="preserve">Seed roles default</t>
  </si>
  <si>
    <t xml:space="preserve">Bảng Role có 6 record (HO.SYSADMIN, FARM.OWNER, FARM.STAFF, VET, BUYER, INVESTOR).</t>
  </si>
  <si>
    <t xml:space="preserve">MKT-001</t>
  </si>
  <si>
    <t xml:space="preserve">Marketplace</t>
  </si>
  <si>
    <t xml:space="preserve">Tạo listing hợp lệ</t>
  </si>
  <si>
    <t xml:space="preserve">Login FarmOwner, có Farm.</t>
  </si>
  <si>
    <t xml:space="preserve">POST /api/v1/listings { Title, Category=Breeding, Species=Deer, Price=5000000, Quantity=2 }.</t>
  </si>
  <si>
    <t xml:space="preserve">Trả 200 + GUID, status=Active.</t>
  </si>
  <si>
    <t xml:space="preserve">P2</t>
  </si>
  <si>
    <t xml:space="preserve">MKT-002</t>
  </si>
  <si>
    <t xml:space="preserve">Search public không cần auth</t>
  </si>
  <si>
    <t xml:space="preserve">Có 3 listing active.</t>
  </si>
  <si>
    <t xml:space="preserve">GET /api/v1/listings (không Authorization header).</t>
  </si>
  <si>
    <t xml:space="preserve">Trả 200 + 3 listing.</t>
  </si>
  <si>
    <t xml:space="preserve">MKT-003</t>
  </si>
  <si>
    <t xml:space="preserve">Filter theo tỉnh</t>
  </si>
  <si>
    <t xml:space="preserve">Listing A ở Hà Tĩnh, B ở Nghệ An.</t>
  </si>
  <si>
    <t xml:space="preserve">GET /api/v1/listings?province=Hà Tĩnh.</t>
  </si>
  <si>
    <t xml:space="preserve">Chỉ trả về listing A.</t>
  </si>
  <si>
    <t xml:space="preserve">MKT-004</t>
  </si>
  <si>
    <t xml:space="preserve">Filter theo species</t>
  </si>
  <si>
    <t xml:space="preserve">Listing với species khác nhau.</t>
  </si>
  <si>
    <t xml:space="preserve">GET ?species=0 (Deer).</t>
  </si>
  <si>
    <t xml:space="preserve">Trả về đúng listing Species=Deer.</t>
  </si>
  <si>
    <t xml:space="preserve">MKT-005</t>
  </si>
  <si>
    <t xml:space="preserve">Update listing - chuyển sang Sold</t>
  </si>
  <si>
    <t xml:space="preserve">Có listing Active.</t>
  </si>
  <si>
    <t xml:space="preserve">PUT với Status=Sold.</t>
  </si>
  <si>
    <t xml:space="preserve">Status=Sold. Search active không thấy nữa.</t>
  </si>
  <si>
    <t xml:space="preserve">MKT-006</t>
  </si>
  <si>
    <t xml:space="preserve">Listing photos preserve order</t>
  </si>
  <si>
    <t xml:space="preserve">Tạo listing với 3 photoUrls.</t>
  </si>
  <si>
    <t xml:space="preserve">GET trả về photoUrls đúng thứ tự đã tạo.</t>
  </si>
  <si>
    <t xml:space="preserve">MKT-007</t>
  </si>
  <si>
    <t xml:space="preserve">Xóa listing</t>
  </si>
  <si>
    <t xml:space="preserve">Có listing.</t>
  </si>
  <si>
    <t xml:space="preserve">DELETE /api/v1/listings/{id}.</t>
  </si>
  <si>
    <t xml:space="preserve">Trả 204. Search không còn thấy.</t>
  </si>
  <si>
    <t xml:space="preserve">FOR-001</t>
  </si>
  <si>
    <t xml:space="preserve">Forum</t>
  </si>
  <si>
    <t xml:space="preserve">Tạo thread</t>
  </si>
  <si>
    <t xml:space="preserve">POST /api/v1/forum/threads { Title, Category }.</t>
  </si>
  <si>
    <t xml:space="preserve">Trả 200 + GUID. ViewCount=0, PostCount=0.</t>
  </si>
  <si>
    <t xml:space="preserve">FOR-002</t>
  </si>
  <si>
    <t xml:space="preserve">View thread tăng counter</t>
  </si>
  <si>
    <t xml:space="preserve">Có thread.</t>
  </si>
  <si>
    <t xml:space="preserve">GET /api/v1/forum/threads/{id} 3 lần.</t>
  </si>
  <si>
    <t xml:space="preserve">ViewCount = 3.</t>
  </si>
  <si>
    <t xml:space="preserve">FOR-003</t>
  </si>
  <si>
    <t xml:space="preserve">Reply thread</t>
  </si>
  <si>
    <t xml:space="preserve">Có thread chưa lock.</t>
  </si>
  <si>
    <t xml:space="preserve">POST /api/v1/forum/posts { ThreadId, Body }.</t>
  </si>
  <si>
    <t xml:space="preserve">Trả 200. PostCount tăng 1, LastReplyAt cập nhật.</t>
  </si>
  <si>
    <t xml:space="preserve">FOR-004</t>
  </si>
  <si>
    <t xml:space="preserve">Reply thread đã lock</t>
  </si>
  <si>
    <t xml:space="preserve">Thread.IsLocked=true.</t>
  </si>
  <si>
    <t xml:space="preserve">POST post.</t>
  </si>
  <si>
    <t xml:space="preserve">Trả 400 "Thread is locked".</t>
  </si>
  <si>
    <t xml:space="preserve">REV-001</t>
  </si>
  <si>
    <t xml:space="preserve">Review</t>
  </si>
  <si>
    <t xml:space="preserve">Tạo review 1-5 sao</t>
  </si>
  <si>
    <t xml:space="preserve">POST /api/v1/marketplace/reviews { TargetFarmId, Rating=4 }.</t>
  </si>
  <si>
    <t xml:space="preserve">Trả 200, review xuất hiện.</t>
  </si>
  <si>
    <t xml:space="preserve">REV-002</t>
  </si>
  <si>
    <t xml:space="preserve">Rating ngoài phạm vi 1-5</t>
  </si>
  <si>
    <t xml:space="preserve">POST với Rating=10.</t>
  </si>
  <si>
    <t xml:space="preserve">VRF-001</t>
  </si>
  <si>
    <t xml:space="preserve">Verification</t>
  </si>
  <si>
    <t xml:space="preserve">Submit verification</t>
  </si>
  <si>
    <t xml:space="preserve">POST /api/v1/marketplace/verifications/submit { FarmId, DocumentUrls }.</t>
  </si>
  <si>
    <t xml:space="preserve">Status=Pending, SubmittedAt set.</t>
  </si>
  <si>
    <t xml:space="preserve">VRF-002</t>
  </si>
  <si>
    <t xml:space="preserve">Admin approve</t>
  </si>
  <si>
    <t xml:space="preserve">Có verification Pending.</t>
  </si>
  <si>
    <t xml:space="preserve">POST /verifications/{id}/decide?approve=true.</t>
  </si>
  <si>
    <t xml:space="preserve">Status=Verified, VerifiedAt set, VerifiedByUserId=admin.</t>
  </si>
  <si>
    <t xml:space="preserve">VRF-003</t>
  </si>
  <si>
    <t xml:space="preserve">Một farm chỉ có 1 verification</t>
  </si>
  <si>
    <t xml:space="preserve">Đã có verification cho FarmA.</t>
  </si>
  <si>
    <t xml:space="preserve">Submit lần 2 cho FarmA.</t>
  </si>
  <si>
    <t xml:space="preserve">API trả 400/500 do unique constraint trên FarmId.</t>
  </si>
  <si>
    <t xml:space="preserve">SHP-001</t>
  </si>
  <si>
    <t xml:space="preserve">Shipping</t>
  </si>
  <si>
    <t xml:space="preserve">Lấy partner theo tỉnh + species</t>
  </si>
  <si>
    <t xml:space="preserve">Có 3 partner. P1 service "Hà Tĩnh,Nghệ An" Deer; P2 service "HCM" Cow.</t>
  </si>
  <si>
    <t xml:space="preserve">GET /api/v1/marketplace/shipping-partners?province=Hà Tĩnh&amp;species=Deer.</t>
  </si>
  <si>
    <t xml:space="preserve">Chỉ trả về P1.</t>
  </si>
  <si>
    <t xml:space="preserve">INV-001</t>
  </si>
  <si>
    <t xml:space="preserve">Investment</t>
  </si>
  <si>
    <t xml:space="preserve">Tạo investment offer</t>
  </si>
  <si>
    <t xml:space="preserve">POST /api/v1/investment/offers { AnimalId, TotalShares=100, PricePerShare=100000, ProfitRatio=0.7 }.</t>
  </si>
  <si>
    <t xml:space="preserve">Status=Open, AvailableShares=100.</t>
  </si>
  <si>
    <t xml:space="preserve">P3</t>
  </si>
  <si>
    <t xml:space="preserve">INV-002</t>
  </si>
  <si>
    <t xml:space="preserve">Animal chỉ có 1 offer (unique)</t>
  </si>
  <si>
    <t xml:space="preserve">Animal X đã có offer.</t>
  </si>
  <si>
    <t xml:space="preserve">Tạo offer mới cho X.</t>
  </si>
  <si>
    <t xml:space="preserve">API trả 400/500 do unique trên AnimalId.</t>
  </si>
  <si>
    <t xml:space="preserve">INV-003</t>
  </si>
  <si>
    <t xml:space="preserve">Mua share thành công</t>
  </si>
  <si>
    <t xml:space="preserve">Offer còn 100 share.</t>
  </si>
  <si>
    <t xml:space="preserve">POST /api/v1/investment/orders { OfferId, ShareQty=10 }.</t>
  </si>
  <si>
    <t xml:space="preserve">Status=Pending, TotalAmount=10*PricePerShare. Offer.AvailableShares=90.</t>
  </si>
  <si>
    <t xml:space="preserve">INV-004</t>
  </si>
  <si>
    <t xml:space="preserve">Mua quá số share còn</t>
  </si>
  <si>
    <t xml:space="preserve">Còn 5 share.</t>
  </si>
  <si>
    <t xml:space="preserve">POST với ShareQty=10.</t>
  </si>
  <si>
    <t xml:space="preserve">API trả 400 "Not enough available shares. Available: 5, requested: 10".</t>
  </si>
  <si>
    <t xml:space="preserve">INV-005</t>
  </si>
  <si>
    <t xml:space="preserve">Mua hết share đóng offer</t>
  </si>
  <si>
    <t xml:space="preserve">Còn 10 share, offer Status=Open.</t>
  </si>
  <si>
    <t xml:space="preserve">AvailableShares=0, Status=Closed.</t>
  </si>
  <si>
    <t xml:space="preserve">INV-006</t>
  </si>
  <si>
    <t xml:space="preserve">Confirm order issues certificate</t>
  </si>
  <si>
    <t xml:space="preserve">Có order Pending.</t>
  </si>
  <si>
    <t xml:space="preserve">POST /orders/{id}/confirm.</t>
  </si>
  <si>
    <t xml:space="preserve">Status=Confirmed, ConfirmedAt set. ShareCertificate được sinh ra.</t>
  </si>
  <si>
    <t xml:space="preserve">INV-007</t>
  </si>
  <si>
    <t xml:space="preserve">Tạo HarvestEvent</t>
  </si>
  <si>
    <t xml:space="preserve">Có offer và animal.</t>
  </si>
  <si>
    <t xml:space="preserve">POST /harvest-events { AnimalId, OfferId, HarvestType=Antler, GrossRevenue=100000000 }.</t>
  </si>
  <si>
    <t xml:space="preserve">Trả 200 + GUID.</t>
  </si>
  <si>
    <t xml:space="preserve">INV-008</t>
  </si>
  <si>
    <t xml:space="preserve">Phân chia lợi nhuận theo % share</t>
  </si>
  <si>
    <t xml:space="preserve">Offer ProfitRatio=0.7. 2 investor: A=30 share, B=70 share. HarvestEvent gross=100tr.</t>
  </si>
  <si>
    <t xml:space="preserve">POST /profit-distributions/run/{harvestEventId}.</t>
  </si>
  <si>
    <t xml:space="preserve">Pool=70tr. A nhận 21tr (30%), B nhận 49tr (70%). Offer.Status=Harvested.</t>
  </si>
  <si>
    <t xml:space="preserve">INV-009</t>
  </si>
  <si>
    <t xml:space="preserve">Distribute khi HarvestEvent không có offer</t>
  </si>
  <si>
    <t xml:space="preserve">HarvestEvent có OfferId=null.</t>
  </si>
  <si>
    <t xml:space="preserve">POST distribute.</t>
  </si>
  <si>
    <t xml:space="preserve">API trả 400 "HarvestEvent is not linked to an offer".</t>
  </si>
  <si>
    <t xml:space="preserve">INV-010</t>
  </si>
  <si>
    <t xml:space="preserve">Lấy đơn của tôi</t>
  </si>
  <si>
    <t xml:space="preserve">Investor có 3 order.</t>
  </si>
  <si>
    <t xml:space="preserve">GET /orders/me.</t>
  </si>
  <si>
    <t xml:space="preserve">Trả 3 order.</t>
  </si>
  <si>
    <t xml:space="preserve">INV-011</t>
  </si>
  <si>
    <t xml:space="preserve">Concurrent order race</t>
  </si>
  <si>
    <t xml:space="preserve">Còn 5 share. 2 investor cùng đặt 5 share đồng thời.</t>
  </si>
  <si>
    <t xml:space="preserve">Gửi 2 request POST orders song song.</t>
  </si>
  <si>
    <t xml:space="preserve">Chỉ 1 request thành công, request thứ 2 trả 400 (transaction lock).</t>
  </si>
  <si>
    <t xml:space="preserve">Concurrency</t>
  </si>
  <si>
    <t xml:space="preserve">UPD-001</t>
  </si>
  <si>
    <t xml:space="preserve">AnimalUpdate</t>
  </si>
  <si>
    <t xml:space="preserve">Trang trại cập nhật nhật ký vật nuôi</t>
  </si>
  <si>
    <t xml:space="preserve">POST /animal-updates { AnimalId, UpdateType=Feed, Description="Cho ăn 2kg cám" }.</t>
  </si>
  <si>
    <t xml:space="preserve">UPD-002</t>
  </si>
  <si>
    <t xml:space="preserve">Investor xem update</t>
  </si>
  <si>
    <t xml:space="preserve">Investor đã invest vào animal.</t>
  </si>
  <si>
    <t xml:space="preserve">GET /animal-updates/{animalId}.</t>
  </si>
  <si>
    <t xml:space="preserve">Trả về list update theo recordedAt giảm dần.</t>
  </si>
  <si>
    <t xml:space="preserve">CAM-001</t>
  </si>
  <si>
    <t xml:space="preserve">Camera</t>
  </si>
  <si>
    <t xml:space="preserve">CameraFeed - chỉ FarmOwner &amp; Investor xem</t>
  </si>
  <si>
    <t xml:space="preserve">CameraFeed.AccessRoles="FARM.OWNER,INVESTOR".</t>
  </si>
  <si>
    <t xml:space="preserve">Buyer GET stream URL.</t>
  </si>
  <si>
    <t xml:space="preserve">SEC-001</t>
  </si>
  <si>
    <t xml:space="preserve">JWT hết hạn</t>
  </si>
  <si>
    <t xml:space="preserve">Token đã expire.</t>
  </si>
  <si>
    <t xml:space="preserve">GET /api/v1/animals/...</t>
  </si>
  <si>
    <t xml:space="preserve">API trả 401.</t>
  </si>
  <si>
    <t xml:space="preserve">CC</t>
  </si>
  <si>
    <t xml:space="preserve">SEC-002</t>
  </si>
  <si>
    <t xml:space="preserve">CORS - Origin không nằm trong whitelist</t>
  </si>
  <si>
    <t xml:space="preserve">Request từ http://evil.com</t>
  </si>
  <si>
    <t xml:space="preserve">GET endpoint protected.</t>
  </si>
  <si>
    <t xml:space="preserve">Browser block / API trả CORS error.</t>
  </si>
  <si>
    <t xml:space="preserve">SEC-003</t>
  </si>
  <si>
    <t xml:space="preserve">XSS qua field text</t>
  </si>
  <si>
    <t xml:space="preserve">POST /forum/posts với Body=&lt;script&gt;alert(1)&lt;/script&gt;.</t>
  </si>
  <si>
    <t xml:space="preserve">FE escape HTML; SafeHtmlPipe không execute.</t>
  </si>
  <si>
    <t xml:space="preserve">SEC-004</t>
  </si>
  <si>
    <t xml:space="preserve">SQL injection qua search</t>
  </si>
  <si>
    <t xml:space="preserve">GET /listings?q=' OR 1=1--</t>
  </si>
  <si>
    <t xml:space="preserve">Không lộ data; EF Core parameterize.</t>
  </si>
  <si>
    <t xml:space="preserve">PRF-001</t>
  </si>
  <si>
    <t xml:space="preserve">Performance</t>
  </si>
  <si>
    <t xml:space="preserve">Listing search trả 1000 record</t>
  </si>
  <si>
    <t xml:space="preserve">DB có 1000 listing active.</t>
  </si>
  <si>
    <t xml:space="preserve">GET /listings?pageSize=20.</t>
  </si>
  <si>
    <t xml:space="preserve">Response &lt; 1 giây, chỉ trả 20 record.</t>
  </si>
  <si>
    <t xml:space="preserve">PRF-002</t>
  </si>
  <si>
    <t xml:space="preserve">Dashboard với 10000 animal</t>
  </si>
  <si>
    <t xml:space="preserve">GET /reports/dashboard.</t>
  </si>
  <si>
    <t xml:space="preserve">Response &lt; 3 giây (dùng cache nếu có).</t>
  </si>
  <si>
    <t xml:space="preserve">UI-001</t>
  </si>
  <si>
    <t xml:space="preserve">Mobile</t>
  </si>
  <si>
    <t xml:space="preserve">Vaccine page hiển thị đúng trên mobile</t>
  </si>
  <si>
    <t xml:space="preserve">Mở /app/vaccines trên màn 360px.</t>
  </si>
  <si>
    <t xml:space="preserve">Bảng có scroll ngang, không bị tràn.</t>
  </si>
  <si>
    <t xml:space="preserve">UI</t>
  </si>
  <si>
    <t xml:space="preserve">UI-002</t>
  </si>
  <si>
    <t xml:space="preserve">Marketplace grid trên mobile</t>
  </si>
  <si>
    <t xml:space="preserve">Mở /marketplace trên 360px.</t>
  </si>
  <si>
    <t xml:space="preserve">Grid xếp 1 cột.</t>
  </si>
  <si>
    <t xml:space="preserve">I18N-001</t>
  </si>
  <si>
    <t xml:space="preserve">i18n</t>
  </si>
  <si>
    <t xml:space="preserve">Hiển thị tiếng Việt</t>
  </si>
  <si>
    <t xml:space="preserve">Mở các trang Phase 1.</t>
  </si>
  <si>
    <t xml:space="preserve">Label tiếng Việt: "Vật nuôi", "Tiêm vaccine", "Cảnh báo"...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</si>
</sst>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6FA"/>
        <bgColor rgb="FFFFFFFF"/>
      </patternFill>
    </fill>
    <fill>
      <patternFill patternType="solid">
        <fgColor rgb="FFFCE4E4"/>
        <bgColor rgb="FFFFF6CC"/>
      </patternFill>
    </fill>
    <fill>
      <patternFill patternType="solid">
        <fgColor rgb="FFFFF6CC"/>
        <bgColor rgb="FFFCE4E4"/>
      </patternFill>
    </fill>
    <fill>
      <patternFill patternType="solid">
        <fgColor rgb="FFE5F4E5"/>
        <bgColor rgb="FFF2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CC"/>
      <rgbColor rgb="FFF2F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F4E5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f aca="false">COUNTIF('All cases'!I:I,"P1")</f>
        <v>41</v>
      </c>
      <c r="C2" s="0" t="n">
        <f aca="false">COUNTIFS('All cases'!I:I,"P1",'All cases'!H:H,"High")</f>
        <v>28</v>
      </c>
      <c r="D2" s="0" t="n">
        <f aca="false">COUNTIFS('All cases'!I:I,"P1",'All cases'!H:H,"Med")</f>
        <v>12</v>
      </c>
      <c r="E2" s="0" t="n">
        <f aca="false">COUNTIFS('All cases'!I:I,"P1",'All cases'!H:H,"Low")</f>
        <v>1</v>
      </c>
    </row>
    <row r="3" customFormat="false" ht="15" hidden="false" customHeight="false" outlineLevel="0" collapsed="false">
      <c r="A3" s="0" t="s">
        <v>6</v>
      </c>
      <c r="B3" s="0" t="n">
        <f aca="false">COUNTIF('All cases'!I:I,"P2")</f>
        <v>17</v>
      </c>
      <c r="C3" s="0" t="n">
        <f aca="false">COUNTIFS('All cases'!I:I,"P2",'All cases'!H:H,"High")</f>
        <v>9</v>
      </c>
      <c r="D3" s="0" t="n">
        <f aca="false">COUNTIFS('All cases'!I:I,"P2",'All cases'!H:H,"Med")</f>
        <v>8</v>
      </c>
      <c r="E3" s="0" t="n">
        <f aca="false">COUNTIFS('All cases'!I:I,"P2",'All cases'!H:H,"Low")</f>
        <v>0</v>
      </c>
    </row>
    <row r="4" customFormat="false" ht="15" hidden="false" customHeight="false" outlineLevel="0" collapsed="false">
      <c r="A4" s="0" t="s">
        <v>7</v>
      </c>
      <c r="B4" s="0" t="n">
        <f aca="false">COUNTIF('All cases'!I:I,"P3")</f>
        <v>14</v>
      </c>
      <c r="C4" s="0" t="n">
        <f aca="false">COUNTIFS('All cases'!I:I,"P3",'All cases'!H:H,"High")</f>
        <v>12</v>
      </c>
      <c r="D4" s="0" t="n">
        <f aca="false">COUNTIFS('All cases'!I:I,"P3",'All cases'!H:H,"Med")</f>
        <v>2</v>
      </c>
      <c r="E4" s="0" t="n">
        <f aca="false">COUNTIFS('All cases'!I:I,"P3",'All cases'!H:H,"Low")</f>
        <v>0</v>
      </c>
    </row>
    <row r="5" customFormat="false" ht="15" hidden="false" customHeight="false" outlineLevel="0" collapsed="false">
      <c r="A5" s="0" t="s">
        <v>8</v>
      </c>
      <c r="B5" s="0" t="n">
        <f aca="false">COUNTIF('All cases'!I:I,"CC")</f>
        <v>9</v>
      </c>
      <c r="C5" s="0" t="n">
        <f aca="false">COUNTIFS('All cases'!I:I,"CC",'All cases'!H:H,"High")</f>
        <v>4</v>
      </c>
      <c r="D5" s="0" t="n">
        <f aca="false">COUNTIFS('All cases'!I:I,"CC",'All cases'!H:H,"Med")</f>
        <v>5</v>
      </c>
      <c r="E5" s="0" t="n">
        <f aca="false">COUNTIFS('All cases'!I:I,"CC",'All cases'!H:H,"Low")</f>
        <v>0</v>
      </c>
    </row>
    <row r="6" customFormat="false" ht="15" hidden="false" customHeight="false" outlineLevel="0" collapsed="false">
      <c r="A6" s="2" t="s">
        <v>9</v>
      </c>
      <c r="B6" s="2" t="n">
        <f aca="false">SUM(B2:B5)</f>
        <v>81</v>
      </c>
      <c r="C6" s="2" t="n">
        <f aca="false">SUM(C2:C5)</f>
        <v>53</v>
      </c>
      <c r="D6" s="2" t="n">
        <f aca="false">SUM(D2:D5)</f>
        <v>27</v>
      </c>
      <c r="E6" s="2" t="n">
        <f aca="false">SUM(E2:E5)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6" min="5" style="0" width="50"/>
    <col collapsed="false" customWidth="true" hidden="false" outlineLevel="0" max="7" min="7" style="0" width="12"/>
    <col collapsed="false" customWidth="true" hidden="false" outlineLevel="0" max="10" min="8" style="0" width="10"/>
  </cols>
  <sheetData>
    <row r="1" customFormat="false" ht="25.5" hidden="false" customHeight="true" outlineLevel="0" collapsed="false">
      <c r="A1" s="3" t="s">
        <v>10</v>
      </c>
      <c r="B1" s="3" t="s">
        <v>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customFormat="false" ht="46.25" hidden="false" customHeight="false" outlineLevel="0" collapsed="false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5" t="s">
        <v>2</v>
      </c>
      <c r="I2" s="4" t="s">
        <v>26</v>
      </c>
      <c r="J2" s="4" t="s">
        <v>27</v>
      </c>
    </row>
    <row r="3" customFormat="false" ht="15" hidden="false" customHeight="false" outlineLevel="0" collapsed="false">
      <c r="A3" s="6" t="s">
        <v>28</v>
      </c>
      <c r="B3" s="6" t="s">
        <v>20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5" t="s">
        <v>2</v>
      </c>
      <c r="I3" s="6" t="s">
        <v>26</v>
      </c>
      <c r="J3" s="6" t="s">
        <v>27</v>
      </c>
    </row>
    <row r="4" customFormat="false" ht="15" hidden="false" customHeight="false" outlineLevel="0" collapsed="false">
      <c r="A4" s="4" t="s">
        <v>34</v>
      </c>
      <c r="B4" s="4" t="s">
        <v>20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25</v>
      </c>
      <c r="H4" s="7" t="s">
        <v>3</v>
      </c>
      <c r="I4" s="4" t="s">
        <v>26</v>
      </c>
      <c r="J4" s="4" t="s">
        <v>27</v>
      </c>
    </row>
    <row r="5" customFormat="false" ht="15" hidden="false" customHeight="false" outlineLevel="0" collapsed="false">
      <c r="A5" s="6" t="s">
        <v>39</v>
      </c>
      <c r="B5" s="6" t="s">
        <v>20</v>
      </c>
      <c r="C5" s="6" t="s">
        <v>40</v>
      </c>
      <c r="D5" s="6" t="s">
        <v>41</v>
      </c>
      <c r="E5" s="6" t="s">
        <v>42</v>
      </c>
      <c r="F5" s="6" t="s">
        <v>43</v>
      </c>
      <c r="G5" s="6" t="s">
        <v>33</v>
      </c>
      <c r="H5" s="7" t="s">
        <v>3</v>
      </c>
      <c r="I5" s="6" t="s">
        <v>26</v>
      </c>
      <c r="J5" s="6" t="s">
        <v>27</v>
      </c>
    </row>
    <row r="6" customFormat="false" ht="23.85" hidden="false" customHeight="false" outlineLevel="0" collapsed="false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25</v>
      </c>
      <c r="H6" s="5" t="s">
        <v>2</v>
      </c>
      <c r="I6" s="4" t="s">
        <v>26</v>
      </c>
      <c r="J6" s="4" t="s">
        <v>27</v>
      </c>
    </row>
    <row r="7" customFormat="false" ht="23.85" hidden="false" customHeight="false" outlineLevel="0" collapsed="false">
      <c r="A7" s="6" t="s">
        <v>50</v>
      </c>
      <c r="B7" s="6" t="s">
        <v>45</v>
      </c>
      <c r="C7" s="6" t="s">
        <v>51</v>
      </c>
      <c r="D7" s="6" t="s">
        <v>52</v>
      </c>
      <c r="E7" s="6" t="s">
        <v>53</v>
      </c>
      <c r="F7" s="6" t="s">
        <v>54</v>
      </c>
      <c r="G7" s="6" t="s">
        <v>25</v>
      </c>
      <c r="H7" s="5" t="s">
        <v>2</v>
      </c>
      <c r="I7" s="6" t="s">
        <v>26</v>
      </c>
      <c r="J7" s="6" t="s">
        <v>27</v>
      </c>
    </row>
    <row r="8" customFormat="false" ht="23.85" hidden="false" customHeight="false" outlineLevel="0" collapsed="false">
      <c r="A8" s="4" t="s">
        <v>55</v>
      </c>
      <c r="B8" s="4" t="s">
        <v>45</v>
      </c>
      <c r="C8" s="4" t="s">
        <v>56</v>
      </c>
      <c r="D8" s="4" t="s">
        <v>52</v>
      </c>
      <c r="E8" s="4" t="s">
        <v>57</v>
      </c>
      <c r="F8" s="4" t="s">
        <v>58</v>
      </c>
      <c r="G8" s="4" t="s">
        <v>33</v>
      </c>
      <c r="H8" s="5" t="s">
        <v>2</v>
      </c>
      <c r="I8" s="4" t="s">
        <v>26</v>
      </c>
      <c r="J8" s="4" t="s">
        <v>27</v>
      </c>
    </row>
    <row r="9" customFormat="false" ht="23.85" hidden="false" customHeight="false" outlineLevel="0" collapsed="false">
      <c r="A9" s="6" t="s">
        <v>59</v>
      </c>
      <c r="B9" s="6" t="s">
        <v>45</v>
      </c>
      <c r="C9" s="6" t="s">
        <v>60</v>
      </c>
      <c r="D9" s="6" t="s">
        <v>61</v>
      </c>
      <c r="E9" s="6" t="s">
        <v>62</v>
      </c>
      <c r="F9" s="6" t="s">
        <v>63</v>
      </c>
      <c r="G9" s="6" t="s">
        <v>25</v>
      </c>
      <c r="H9" s="5" t="s">
        <v>2</v>
      </c>
      <c r="I9" s="6" t="s">
        <v>26</v>
      </c>
      <c r="J9" s="6" t="s">
        <v>27</v>
      </c>
    </row>
    <row r="10" customFormat="false" ht="23.85" hidden="false" customHeight="false" outlineLevel="0" collapsed="false">
      <c r="A10" s="4" t="s">
        <v>64</v>
      </c>
      <c r="B10" s="4" t="s">
        <v>45</v>
      </c>
      <c r="C10" s="4" t="s">
        <v>65</v>
      </c>
      <c r="D10" s="4" t="s">
        <v>66</v>
      </c>
      <c r="E10" s="4" t="s">
        <v>67</v>
      </c>
      <c r="F10" s="4" t="s">
        <v>68</v>
      </c>
      <c r="G10" s="4" t="s">
        <v>69</v>
      </c>
      <c r="H10" s="5" t="s">
        <v>2</v>
      </c>
      <c r="I10" s="4" t="s">
        <v>26</v>
      </c>
      <c r="J10" s="4" t="s">
        <v>27</v>
      </c>
    </row>
    <row r="11" customFormat="false" ht="23.85" hidden="false" customHeight="false" outlineLevel="0" collapsed="false">
      <c r="A11" s="6" t="s">
        <v>70</v>
      </c>
      <c r="B11" s="6" t="s">
        <v>45</v>
      </c>
      <c r="C11" s="6" t="s">
        <v>71</v>
      </c>
      <c r="D11" s="6" t="s">
        <v>72</v>
      </c>
      <c r="E11" s="6" t="s">
        <v>73</v>
      </c>
      <c r="F11" s="6" t="s">
        <v>74</v>
      </c>
      <c r="G11" s="6" t="s">
        <v>69</v>
      </c>
      <c r="H11" s="5" t="s">
        <v>2</v>
      </c>
      <c r="I11" s="6" t="s">
        <v>26</v>
      </c>
      <c r="J11" s="6" t="s">
        <v>27</v>
      </c>
    </row>
    <row r="12" customFormat="false" ht="23.85" hidden="false" customHeight="false" outlineLevel="0" collapsed="false">
      <c r="A12" s="4" t="s">
        <v>75</v>
      </c>
      <c r="B12" s="4" t="s">
        <v>45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80</v>
      </c>
      <c r="H12" s="5" t="s">
        <v>2</v>
      </c>
      <c r="I12" s="4" t="s">
        <v>26</v>
      </c>
      <c r="J12" s="4" t="s">
        <v>27</v>
      </c>
    </row>
    <row r="13" customFormat="false" ht="15" hidden="false" customHeight="false" outlineLevel="0" collapsed="false">
      <c r="A13" s="6" t="s">
        <v>81</v>
      </c>
      <c r="B13" s="6" t="s">
        <v>45</v>
      </c>
      <c r="C13" s="6" t="s">
        <v>82</v>
      </c>
      <c r="D13" s="6" t="s">
        <v>83</v>
      </c>
      <c r="E13" s="6" t="s">
        <v>84</v>
      </c>
      <c r="F13" s="6" t="s">
        <v>85</v>
      </c>
      <c r="G13" s="6" t="s">
        <v>25</v>
      </c>
      <c r="H13" s="7" t="s">
        <v>3</v>
      </c>
      <c r="I13" s="6" t="s">
        <v>26</v>
      </c>
      <c r="J13" s="6" t="s">
        <v>27</v>
      </c>
    </row>
    <row r="14" customFormat="false" ht="15" hidden="false" customHeight="false" outlineLevel="0" collapsed="false">
      <c r="A14" s="4" t="s">
        <v>86</v>
      </c>
      <c r="B14" s="4" t="s">
        <v>87</v>
      </c>
      <c r="C14" s="4" t="s">
        <v>88</v>
      </c>
      <c r="D14" s="4" t="s">
        <v>89</v>
      </c>
      <c r="E14" s="4" t="s">
        <v>90</v>
      </c>
      <c r="F14" s="4" t="s">
        <v>91</v>
      </c>
      <c r="G14" s="4" t="s">
        <v>25</v>
      </c>
      <c r="H14" s="5" t="s">
        <v>2</v>
      </c>
      <c r="I14" s="4" t="s">
        <v>26</v>
      </c>
      <c r="J14" s="4" t="s">
        <v>27</v>
      </c>
    </row>
    <row r="15" customFormat="false" ht="15" hidden="false" customHeight="false" outlineLevel="0" collapsed="false">
      <c r="A15" s="6" t="s">
        <v>92</v>
      </c>
      <c r="B15" s="6" t="s">
        <v>87</v>
      </c>
      <c r="C15" s="6" t="s">
        <v>93</v>
      </c>
      <c r="D15" s="6" t="s">
        <v>94</v>
      </c>
      <c r="E15" s="6" t="s">
        <v>95</v>
      </c>
      <c r="F15" s="6" t="s">
        <v>96</v>
      </c>
      <c r="G15" s="6" t="s">
        <v>33</v>
      </c>
      <c r="H15" s="7" t="s">
        <v>3</v>
      </c>
      <c r="I15" s="6" t="s">
        <v>26</v>
      </c>
      <c r="J15" s="6" t="s">
        <v>27</v>
      </c>
    </row>
    <row r="16" customFormat="false" ht="15" hidden="false" customHeight="false" outlineLevel="0" collapsed="false">
      <c r="A16" s="4" t="s">
        <v>97</v>
      </c>
      <c r="B16" s="4" t="s">
        <v>87</v>
      </c>
      <c r="C16" s="4" t="s">
        <v>98</v>
      </c>
      <c r="D16" s="4" t="s">
        <v>99</v>
      </c>
      <c r="E16" s="4" t="s">
        <v>100</v>
      </c>
      <c r="F16" s="4" t="s">
        <v>101</v>
      </c>
      <c r="G16" s="4" t="s">
        <v>25</v>
      </c>
      <c r="H16" s="5" t="s">
        <v>2</v>
      </c>
      <c r="I16" s="4" t="s">
        <v>26</v>
      </c>
      <c r="J16" s="4" t="s">
        <v>27</v>
      </c>
    </row>
    <row r="17" customFormat="false" ht="15" hidden="false" customHeight="false" outlineLevel="0" collapsed="false">
      <c r="A17" s="6" t="s">
        <v>102</v>
      </c>
      <c r="B17" s="6" t="s">
        <v>87</v>
      </c>
      <c r="C17" s="6" t="s">
        <v>103</v>
      </c>
      <c r="D17" s="6" t="s">
        <v>104</v>
      </c>
      <c r="E17" s="6" t="s">
        <v>105</v>
      </c>
      <c r="F17" s="6" t="s">
        <v>106</v>
      </c>
      <c r="G17" s="6" t="s">
        <v>33</v>
      </c>
      <c r="H17" s="5" t="s">
        <v>2</v>
      </c>
      <c r="I17" s="6" t="s">
        <v>26</v>
      </c>
      <c r="J17" s="6" t="s">
        <v>27</v>
      </c>
    </row>
    <row r="18" customFormat="false" ht="15" hidden="false" customHeight="false" outlineLevel="0" collapsed="false">
      <c r="A18" s="4" t="s">
        <v>107</v>
      </c>
      <c r="B18" s="4" t="s">
        <v>87</v>
      </c>
      <c r="C18" s="4" t="s">
        <v>108</v>
      </c>
      <c r="D18" s="4" t="s">
        <v>109</v>
      </c>
      <c r="E18" s="4" t="s">
        <v>110</v>
      </c>
      <c r="F18" s="4" t="s">
        <v>111</v>
      </c>
      <c r="G18" s="4" t="s">
        <v>25</v>
      </c>
      <c r="H18" s="5" t="s">
        <v>2</v>
      </c>
      <c r="I18" s="4" t="s">
        <v>26</v>
      </c>
      <c r="J18" s="4" t="s">
        <v>27</v>
      </c>
    </row>
    <row r="19" customFormat="false" ht="15" hidden="false" customHeight="false" outlineLevel="0" collapsed="false">
      <c r="A19" s="6" t="s">
        <v>112</v>
      </c>
      <c r="B19" s="6" t="s">
        <v>87</v>
      </c>
      <c r="C19" s="6" t="s">
        <v>113</v>
      </c>
      <c r="D19" s="6" t="s">
        <v>114</v>
      </c>
      <c r="E19" s="6" t="s">
        <v>115</v>
      </c>
      <c r="F19" s="6" t="s">
        <v>116</v>
      </c>
      <c r="G19" s="6" t="s">
        <v>69</v>
      </c>
      <c r="H19" s="5" t="s">
        <v>2</v>
      </c>
      <c r="I19" s="6" t="s">
        <v>26</v>
      </c>
      <c r="J19" s="6" t="s">
        <v>27</v>
      </c>
    </row>
    <row r="20" customFormat="false" ht="23.85" hidden="false" customHeight="false" outlineLevel="0" collapsed="false">
      <c r="A20" s="4" t="s">
        <v>117</v>
      </c>
      <c r="B20" s="4" t="s">
        <v>87</v>
      </c>
      <c r="C20" s="4" t="s">
        <v>118</v>
      </c>
      <c r="D20" s="4" t="s">
        <v>119</v>
      </c>
      <c r="E20" s="4" t="s">
        <v>120</v>
      </c>
      <c r="F20" s="4" t="s">
        <v>121</v>
      </c>
      <c r="G20" s="4" t="s">
        <v>33</v>
      </c>
      <c r="H20" s="7" t="s">
        <v>3</v>
      </c>
      <c r="I20" s="4" t="s">
        <v>26</v>
      </c>
      <c r="J20" s="4" t="s">
        <v>27</v>
      </c>
    </row>
    <row r="21" customFormat="false" ht="23.85" hidden="false" customHeight="false" outlineLevel="0" collapsed="false">
      <c r="A21" s="6" t="s">
        <v>122</v>
      </c>
      <c r="B21" s="6" t="s">
        <v>87</v>
      </c>
      <c r="C21" s="6" t="s">
        <v>123</v>
      </c>
      <c r="D21" s="6" t="s">
        <v>124</v>
      </c>
      <c r="E21" s="6" t="s">
        <v>125</v>
      </c>
      <c r="F21" s="6" t="s">
        <v>126</v>
      </c>
      <c r="G21" s="6" t="s">
        <v>25</v>
      </c>
      <c r="H21" s="5" t="s">
        <v>2</v>
      </c>
      <c r="I21" s="6" t="s">
        <v>26</v>
      </c>
      <c r="J21" s="6" t="s">
        <v>27</v>
      </c>
    </row>
    <row r="22" customFormat="false" ht="15" hidden="false" customHeight="false" outlineLevel="0" collapsed="false">
      <c r="A22" s="4" t="s">
        <v>127</v>
      </c>
      <c r="B22" s="4" t="s">
        <v>128</v>
      </c>
      <c r="C22" s="4" t="s">
        <v>129</v>
      </c>
      <c r="D22" s="4" t="s">
        <v>130</v>
      </c>
      <c r="E22" s="4" t="s">
        <v>131</v>
      </c>
      <c r="F22" s="4" t="s">
        <v>132</v>
      </c>
      <c r="G22" s="4" t="s">
        <v>25</v>
      </c>
      <c r="H22" s="5" t="s">
        <v>2</v>
      </c>
      <c r="I22" s="4" t="s">
        <v>26</v>
      </c>
      <c r="J22" s="4" t="s">
        <v>27</v>
      </c>
    </row>
    <row r="23" customFormat="false" ht="15" hidden="false" customHeight="false" outlineLevel="0" collapsed="false">
      <c r="A23" s="6" t="s">
        <v>133</v>
      </c>
      <c r="B23" s="6" t="s">
        <v>128</v>
      </c>
      <c r="C23" s="6" t="s">
        <v>134</v>
      </c>
      <c r="D23" s="6" t="s">
        <v>130</v>
      </c>
      <c r="E23" s="6" t="s">
        <v>135</v>
      </c>
      <c r="F23" s="6" t="s">
        <v>136</v>
      </c>
      <c r="G23" s="6" t="s">
        <v>33</v>
      </c>
      <c r="H23" s="7" t="s">
        <v>3</v>
      </c>
      <c r="I23" s="6" t="s">
        <v>26</v>
      </c>
      <c r="J23" s="6" t="s">
        <v>27</v>
      </c>
    </row>
    <row r="24" customFormat="false" ht="15" hidden="false" customHeight="false" outlineLevel="0" collapsed="false">
      <c r="A24" s="4" t="s">
        <v>137</v>
      </c>
      <c r="B24" s="4" t="s">
        <v>128</v>
      </c>
      <c r="C24" s="4" t="s">
        <v>138</v>
      </c>
      <c r="D24" s="4" t="s">
        <v>119</v>
      </c>
      <c r="E24" s="4" t="s">
        <v>139</v>
      </c>
      <c r="F24" s="4" t="s">
        <v>140</v>
      </c>
      <c r="G24" s="4" t="s">
        <v>33</v>
      </c>
      <c r="H24" s="8" t="s">
        <v>4</v>
      </c>
      <c r="I24" s="4" t="s">
        <v>26</v>
      </c>
      <c r="J24" s="4" t="s">
        <v>27</v>
      </c>
    </row>
    <row r="25" customFormat="false" ht="23.85" hidden="false" customHeight="false" outlineLevel="0" collapsed="false">
      <c r="A25" s="6" t="s">
        <v>141</v>
      </c>
      <c r="B25" s="6" t="s">
        <v>128</v>
      </c>
      <c r="C25" s="6" t="s">
        <v>142</v>
      </c>
      <c r="D25" s="6" t="s">
        <v>143</v>
      </c>
      <c r="E25" s="6" t="s">
        <v>144</v>
      </c>
      <c r="F25" s="6" t="s">
        <v>145</v>
      </c>
      <c r="G25" s="6" t="s">
        <v>69</v>
      </c>
      <c r="H25" s="5" t="s">
        <v>2</v>
      </c>
      <c r="I25" s="6" t="s">
        <v>26</v>
      </c>
      <c r="J25" s="6" t="s">
        <v>27</v>
      </c>
    </row>
    <row r="26" customFormat="false" ht="23.85" hidden="false" customHeight="false" outlineLevel="0" collapsed="false">
      <c r="A26" s="4" t="s">
        <v>146</v>
      </c>
      <c r="B26" s="4" t="s">
        <v>128</v>
      </c>
      <c r="C26" s="4" t="s">
        <v>147</v>
      </c>
      <c r="D26" s="4" t="s">
        <v>148</v>
      </c>
      <c r="E26" s="4" t="s">
        <v>149</v>
      </c>
      <c r="F26" s="4" t="s">
        <v>150</v>
      </c>
      <c r="G26" s="4" t="s">
        <v>69</v>
      </c>
      <c r="H26" s="7" t="s">
        <v>3</v>
      </c>
      <c r="I26" s="4" t="s">
        <v>26</v>
      </c>
      <c r="J26" s="4" t="s">
        <v>27</v>
      </c>
    </row>
    <row r="27" customFormat="false" ht="23.85" hidden="false" customHeight="false" outlineLevel="0" collapsed="false">
      <c r="A27" s="6" t="s">
        <v>151</v>
      </c>
      <c r="B27" s="6" t="s">
        <v>152</v>
      </c>
      <c r="C27" s="6" t="s">
        <v>153</v>
      </c>
      <c r="D27" s="6" t="s">
        <v>154</v>
      </c>
      <c r="E27" s="6" t="s">
        <v>155</v>
      </c>
      <c r="F27" s="6" t="s">
        <v>156</v>
      </c>
      <c r="G27" s="6" t="s">
        <v>25</v>
      </c>
      <c r="H27" s="5" t="s">
        <v>2</v>
      </c>
      <c r="I27" s="6" t="s">
        <v>26</v>
      </c>
      <c r="J27" s="6" t="s">
        <v>27</v>
      </c>
    </row>
    <row r="28" customFormat="false" ht="23.85" hidden="false" customHeight="false" outlineLevel="0" collapsed="false">
      <c r="A28" s="4" t="s">
        <v>157</v>
      </c>
      <c r="B28" s="4" t="s">
        <v>152</v>
      </c>
      <c r="C28" s="4" t="s">
        <v>158</v>
      </c>
      <c r="D28" s="4" t="s">
        <v>159</v>
      </c>
      <c r="E28" s="4" t="s">
        <v>160</v>
      </c>
      <c r="F28" s="4" t="s">
        <v>161</v>
      </c>
      <c r="G28" s="4" t="s">
        <v>25</v>
      </c>
      <c r="H28" s="5" t="s">
        <v>2</v>
      </c>
      <c r="I28" s="4" t="s">
        <v>26</v>
      </c>
      <c r="J28" s="4" t="s">
        <v>27</v>
      </c>
    </row>
    <row r="29" customFormat="false" ht="23.85" hidden="false" customHeight="false" outlineLevel="0" collapsed="false">
      <c r="A29" s="6" t="s">
        <v>162</v>
      </c>
      <c r="B29" s="6" t="s">
        <v>152</v>
      </c>
      <c r="C29" s="6" t="s">
        <v>163</v>
      </c>
      <c r="D29" s="6" t="s">
        <v>164</v>
      </c>
      <c r="E29" s="6" t="s">
        <v>165</v>
      </c>
      <c r="F29" s="6" t="s">
        <v>166</v>
      </c>
      <c r="G29" s="6" t="s">
        <v>25</v>
      </c>
      <c r="H29" s="7" t="s">
        <v>3</v>
      </c>
      <c r="I29" s="6" t="s">
        <v>26</v>
      </c>
      <c r="J29" s="6" t="s">
        <v>27</v>
      </c>
    </row>
    <row r="30" customFormat="false" ht="15" hidden="false" customHeight="false" outlineLevel="0" collapsed="false">
      <c r="A30" s="4" t="s">
        <v>167</v>
      </c>
      <c r="B30" s="4" t="s">
        <v>168</v>
      </c>
      <c r="C30" s="4" t="s">
        <v>169</v>
      </c>
      <c r="D30" s="4" t="s">
        <v>170</v>
      </c>
      <c r="E30" s="4" t="s">
        <v>171</v>
      </c>
      <c r="F30" s="4" t="s">
        <v>172</v>
      </c>
      <c r="G30" s="4" t="s">
        <v>25</v>
      </c>
      <c r="H30" s="5" t="s">
        <v>2</v>
      </c>
      <c r="I30" s="4" t="s">
        <v>26</v>
      </c>
      <c r="J30" s="4" t="s">
        <v>27</v>
      </c>
    </row>
    <row r="31" customFormat="false" ht="15" hidden="false" customHeight="false" outlineLevel="0" collapsed="false">
      <c r="A31" s="6" t="s">
        <v>173</v>
      </c>
      <c r="B31" s="6" t="s">
        <v>168</v>
      </c>
      <c r="C31" s="6" t="s">
        <v>174</v>
      </c>
      <c r="D31" s="6" t="s">
        <v>175</v>
      </c>
      <c r="E31" s="6" t="s">
        <v>176</v>
      </c>
      <c r="F31" s="6" t="s">
        <v>177</v>
      </c>
      <c r="G31" s="6" t="s">
        <v>25</v>
      </c>
      <c r="H31" s="5" t="s">
        <v>2</v>
      </c>
      <c r="I31" s="6" t="s">
        <v>26</v>
      </c>
      <c r="J31" s="6" t="s">
        <v>27</v>
      </c>
    </row>
    <row r="32" customFormat="false" ht="23.85" hidden="false" customHeight="false" outlineLevel="0" collapsed="false">
      <c r="A32" s="4" t="s">
        <v>178</v>
      </c>
      <c r="B32" s="4" t="s">
        <v>168</v>
      </c>
      <c r="C32" s="4" t="s">
        <v>179</v>
      </c>
      <c r="D32" s="4" t="s">
        <v>180</v>
      </c>
      <c r="E32" s="4" t="s">
        <v>181</v>
      </c>
      <c r="F32" s="4" t="s">
        <v>182</v>
      </c>
      <c r="G32" s="4" t="s">
        <v>25</v>
      </c>
      <c r="H32" s="7" t="s">
        <v>3</v>
      </c>
      <c r="I32" s="4" t="s">
        <v>26</v>
      </c>
      <c r="J32" s="4" t="s">
        <v>27</v>
      </c>
    </row>
    <row r="33" customFormat="false" ht="15" hidden="false" customHeight="false" outlineLevel="0" collapsed="false">
      <c r="A33" s="6" t="s">
        <v>183</v>
      </c>
      <c r="B33" s="6" t="s">
        <v>168</v>
      </c>
      <c r="C33" s="6" t="s">
        <v>184</v>
      </c>
      <c r="D33" s="6" t="s">
        <v>185</v>
      </c>
      <c r="E33" s="6" t="s">
        <v>186</v>
      </c>
      <c r="F33" s="6" t="s">
        <v>187</v>
      </c>
      <c r="G33" s="6" t="s">
        <v>25</v>
      </c>
      <c r="H33" s="7" t="s">
        <v>3</v>
      </c>
      <c r="I33" s="6" t="s">
        <v>26</v>
      </c>
      <c r="J33" s="6" t="s">
        <v>27</v>
      </c>
    </row>
    <row r="34" customFormat="false" ht="23.85" hidden="false" customHeight="false" outlineLevel="0" collapsed="false">
      <c r="A34" s="4" t="s">
        <v>188</v>
      </c>
      <c r="B34" s="4" t="s">
        <v>168</v>
      </c>
      <c r="C34" s="4" t="s">
        <v>189</v>
      </c>
      <c r="D34" s="4" t="s">
        <v>190</v>
      </c>
      <c r="E34" s="4" t="s">
        <v>191</v>
      </c>
      <c r="F34" s="4" t="s">
        <v>192</v>
      </c>
      <c r="G34" s="4" t="s">
        <v>69</v>
      </c>
      <c r="H34" s="5" t="s">
        <v>2</v>
      </c>
      <c r="I34" s="4" t="s">
        <v>26</v>
      </c>
      <c r="J34" s="4" t="s">
        <v>27</v>
      </c>
    </row>
    <row r="35" customFormat="false" ht="23.85" hidden="false" customHeight="false" outlineLevel="0" collapsed="false">
      <c r="A35" s="6" t="s">
        <v>193</v>
      </c>
      <c r="B35" s="6" t="s">
        <v>194</v>
      </c>
      <c r="C35" s="6" t="s">
        <v>195</v>
      </c>
      <c r="D35" s="6" t="s">
        <v>196</v>
      </c>
      <c r="E35" s="6" t="s">
        <v>197</v>
      </c>
      <c r="F35" s="6" t="s">
        <v>198</v>
      </c>
      <c r="G35" s="6" t="s">
        <v>25</v>
      </c>
      <c r="H35" s="5" t="s">
        <v>2</v>
      </c>
      <c r="I35" s="6" t="s">
        <v>26</v>
      </c>
      <c r="J35" s="6" t="s">
        <v>27</v>
      </c>
    </row>
    <row r="36" customFormat="false" ht="15" hidden="false" customHeight="false" outlineLevel="0" collapsed="false">
      <c r="A36" s="4" t="s">
        <v>199</v>
      </c>
      <c r="B36" s="4" t="s">
        <v>194</v>
      </c>
      <c r="C36" s="4" t="s">
        <v>200</v>
      </c>
      <c r="D36" s="4" t="s">
        <v>201</v>
      </c>
      <c r="E36" s="4" t="s">
        <v>202</v>
      </c>
      <c r="F36" s="4" t="s">
        <v>203</v>
      </c>
      <c r="G36" s="4" t="s">
        <v>25</v>
      </c>
      <c r="H36" s="5" t="s">
        <v>2</v>
      </c>
      <c r="I36" s="4" t="s">
        <v>26</v>
      </c>
      <c r="J36" s="4" t="s">
        <v>27</v>
      </c>
    </row>
    <row r="37" customFormat="false" ht="15" hidden="false" customHeight="false" outlineLevel="0" collapsed="false">
      <c r="A37" s="6" t="s">
        <v>204</v>
      </c>
      <c r="B37" s="6" t="s">
        <v>194</v>
      </c>
      <c r="C37" s="6" t="s">
        <v>205</v>
      </c>
      <c r="D37" s="6" t="s">
        <v>206</v>
      </c>
      <c r="E37" s="6" t="s">
        <v>207</v>
      </c>
      <c r="F37" s="6" t="s">
        <v>208</v>
      </c>
      <c r="G37" s="6" t="s">
        <v>25</v>
      </c>
      <c r="H37" s="7" t="s">
        <v>3</v>
      </c>
      <c r="I37" s="6" t="s">
        <v>26</v>
      </c>
      <c r="J37" s="6" t="s">
        <v>27</v>
      </c>
    </row>
    <row r="38" customFormat="false" ht="23.85" hidden="false" customHeight="false" outlineLevel="0" collapsed="false">
      <c r="A38" s="4" t="s">
        <v>209</v>
      </c>
      <c r="B38" s="4" t="s">
        <v>210</v>
      </c>
      <c r="C38" s="4" t="s">
        <v>211</v>
      </c>
      <c r="D38" s="4" t="s">
        <v>212</v>
      </c>
      <c r="E38" s="4" t="s">
        <v>213</v>
      </c>
      <c r="F38" s="4" t="s">
        <v>214</v>
      </c>
      <c r="G38" s="4" t="s">
        <v>25</v>
      </c>
      <c r="H38" s="5" t="s">
        <v>2</v>
      </c>
      <c r="I38" s="4" t="s">
        <v>26</v>
      </c>
      <c r="J38" s="4" t="s">
        <v>27</v>
      </c>
    </row>
    <row r="39" customFormat="false" ht="15" hidden="false" customHeight="false" outlineLevel="0" collapsed="false">
      <c r="A39" s="6" t="s">
        <v>215</v>
      </c>
      <c r="B39" s="6" t="s">
        <v>210</v>
      </c>
      <c r="C39" s="6" t="s">
        <v>216</v>
      </c>
      <c r="D39" s="6" t="s">
        <v>212</v>
      </c>
      <c r="E39" s="6" t="s">
        <v>217</v>
      </c>
      <c r="F39" s="6" t="s">
        <v>218</v>
      </c>
      <c r="G39" s="6" t="s">
        <v>33</v>
      </c>
      <c r="H39" s="7" t="s">
        <v>3</v>
      </c>
      <c r="I39" s="6" t="s">
        <v>26</v>
      </c>
      <c r="J39" s="6" t="s">
        <v>27</v>
      </c>
    </row>
    <row r="40" customFormat="false" ht="15" hidden="false" customHeight="false" outlineLevel="0" collapsed="false">
      <c r="A40" s="4" t="s">
        <v>219</v>
      </c>
      <c r="B40" s="4" t="s">
        <v>210</v>
      </c>
      <c r="C40" s="4" t="s">
        <v>220</v>
      </c>
      <c r="D40" s="4" t="s">
        <v>221</v>
      </c>
      <c r="E40" s="4" t="s">
        <v>222</v>
      </c>
      <c r="F40" s="4" t="s">
        <v>223</v>
      </c>
      <c r="G40" s="4" t="s">
        <v>33</v>
      </c>
      <c r="H40" s="5" t="s">
        <v>2</v>
      </c>
      <c r="I40" s="4" t="s">
        <v>26</v>
      </c>
      <c r="J40" s="4" t="s">
        <v>27</v>
      </c>
    </row>
    <row r="41" customFormat="false" ht="15" hidden="false" customHeight="false" outlineLevel="0" collapsed="false">
      <c r="A41" s="6" t="s">
        <v>224</v>
      </c>
      <c r="B41" s="6" t="s">
        <v>225</v>
      </c>
      <c r="C41" s="6" t="s">
        <v>226</v>
      </c>
      <c r="D41" s="6" t="s">
        <v>227</v>
      </c>
      <c r="E41" s="6" t="s">
        <v>228</v>
      </c>
      <c r="F41" s="6" t="s">
        <v>229</v>
      </c>
      <c r="G41" s="6" t="s">
        <v>230</v>
      </c>
      <c r="H41" s="5" t="s">
        <v>2</v>
      </c>
      <c r="I41" s="6" t="s">
        <v>26</v>
      </c>
      <c r="J41" s="6" t="s">
        <v>27</v>
      </c>
    </row>
    <row r="42" customFormat="false" ht="23.85" hidden="false" customHeight="false" outlineLevel="0" collapsed="false">
      <c r="A42" s="4" t="s">
        <v>231</v>
      </c>
      <c r="B42" s="4" t="s">
        <v>225</v>
      </c>
      <c r="C42" s="4" t="s">
        <v>232</v>
      </c>
      <c r="D42" s="4" t="s">
        <v>227</v>
      </c>
      <c r="E42" s="4" t="s">
        <v>228</v>
      </c>
      <c r="F42" s="4" t="s">
        <v>233</v>
      </c>
      <c r="G42" s="4" t="s">
        <v>230</v>
      </c>
      <c r="H42" s="5" t="s">
        <v>2</v>
      </c>
      <c r="I42" s="4" t="s">
        <v>26</v>
      </c>
      <c r="J42" s="4" t="s">
        <v>27</v>
      </c>
    </row>
    <row r="43" customFormat="false" ht="23.85" hidden="false" customHeight="false" outlineLevel="0" collapsed="false">
      <c r="A43" s="6" t="s">
        <v>234</v>
      </c>
      <c r="B43" s="6" t="s">
        <v>235</v>
      </c>
      <c r="C43" s="6" t="s">
        <v>236</v>
      </c>
      <c r="D43" s="6" t="s">
        <v>237</v>
      </c>
      <c r="E43" s="6" t="s">
        <v>238</v>
      </c>
      <c r="F43" s="6" t="s">
        <v>239</v>
      </c>
      <c r="G43" s="6" t="s">
        <v>25</v>
      </c>
      <c r="H43" s="5" t="s">
        <v>2</v>
      </c>
      <c r="I43" s="6" t="s">
        <v>240</v>
      </c>
      <c r="J43" s="6" t="s">
        <v>27</v>
      </c>
    </row>
    <row r="44" customFormat="false" ht="15" hidden="false" customHeight="false" outlineLevel="0" collapsed="false">
      <c r="A44" s="4" t="s">
        <v>241</v>
      </c>
      <c r="B44" s="4" t="s">
        <v>235</v>
      </c>
      <c r="C44" s="4" t="s">
        <v>242</v>
      </c>
      <c r="D44" s="4" t="s">
        <v>243</v>
      </c>
      <c r="E44" s="4" t="s">
        <v>244</v>
      </c>
      <c r="F44" s="4" t="s">
        <v>245</v>
      </c>
      <c r="G44" s="4" t="s">
        <v>80</v>
      </c>
      <c r="H44" s="5" t="s">
        <v>2</v>
      </c>
      <c r="I44" s="4" t="s">
        <v>240</v>
      </c>
      <c r="J44" s="4" t="s">
        <v>27</v>
      </c>
    </row>
    <row r="45" customFormat="false" ht="15" hidden="false" customHeight="false" outlineLevel="0" collapsed="false">
      <c r="A45" s="6" t="s">
        <v>246</v>
      </c>
      <c r="B45" s="6" t="s">
        <v>235</v>
      </c>
      <c r="C45" s="6" t="s">
        <v>247</v>
      </c>
      <c r="D45" s="6" t="s">
        <v>248</v>
      </c>
      <c r="E45" s="6" t="s">
        <v>249</v>
      </c>
      <c r="F45" s="6" t="s">
        <v>250</v>
      </c>
      <c r="G45" s="6" t="s">
        <v>25</v>
      </c>
      <c r="H45" s="5" t="s">
        <v>2</v>
      </c>
      <c r="I45" s="6" t="s">
        <v>240</v>
      </c>
      <c r="J45" s="6" t="s">
        <v>27</v>
      </c>
    </row>
    <row r="46" customFormat="false" ht="15" hidden="false" customHeight="false" outlineLevel="0" collapsed="false">
      <c r="A46" s="4" t="s">
        <v>251</v>
      </c>
      <c r="B46" s="4" t="s">
        <v>235</v>
      </c>
      <c r="C46" s="4" t="s">
        <v>252</v>
      </c>
      <c r="D46" s="4" t="s">
        <v>253</v>
      </c>
      <c r="E46" s="4" t="s">
        <v>254</v>
      </c>
      <c r="F46" s="4" t="s">
        <v>255</v>
      </c>
      <c r="G46" s="4" t="s">
        <v>25</v>
      </c>
      <c r="H46" s="5" t="s">
        <v>2</v>
      </c>
      <c r="I46" s="4" t="s">
        <v>240</v>
      </c>
      <c r="J46" s="4" t="s">
        <v>27</v>
      </c>
    </row>
    <row r="47" customFormat="false" ht="15" hidden="false" customHeight="false" outlineLevel="0" collapsed="false">
      <c r="A47" s="6" t="s">
        <v>256</v>
      </c>
      <c r="B47" s="6" t="s">
        <v>235</v>
      </c>
      <c r="C47" s="6" t="s">
        <v>257</v>
      </c>
      <c r="D47" s="6" t="s">
        <v>258</v>
      </c>
      <c r="E47" s="6" t="s">
        <v>259</v>
      </c>
      <c r="F47" s="6" t="s">
        <v>260</v>
      </c>
      <c r="G47" s="6" t="s">
        <v>25</v>
      </c>
      <c r="H47" s="7" t="s">
        <v>3</v>
      </c>
      <c r="I47" s="6" t="s">
        <v>240</v>
      </c>
      <c r="J47" s="6" t="s">
        <v>27</v>
      </c>
    </row>
    <row r="48" customFormat="false" ht="15" hidden="false" customHeight="false" outlineLevel="0" collapsed="false">
      <c r="A48" s="4" t="s">
        <v>261</v>
      </c>
      <c r="B48" s="4" t="s">
        <v>235</v>
      </c>
      <c r="C48" s="4" t="s">
        <v>262</v>
      </c>
      <c r="D48" s="4" t="s">
        <v>119</v>
      </c>
      <c r="E48" s="4" t="s">
        <v>263</v>
      </c>
      <c r="F48" s="4" t="s">
        <v>264</v>
      </c>
      <c r="G48" s="4" t="s">
        <v>25</v>
      </c>
      <c r="H48" s="7" t="s">
        <v>3</v>
      </c>
      <c r="I48" s="4" t="s">
        <v>240</v>
      </c>
      <c r="J48" s="4" t="s">
        <v>27</v>
      </c>
    </row>
    <row r="49" customFormat="false" ht="15" hidden="false" customHeight="false" outlineLevel="0" collapsed="false">
      <c r="A49" s="6" t="s">
        <v>265</v>
      </c>
      <c r="B49" s="6" t="s">
        <v>235</v>
      </c>
      <c r="C49" s="6" t="s">
        <v>266</v>
      </c>
      <c r="D49" s="6" t="s">
        <v>267</v>
      </c>
      <c r="E49" s="6" t="s">
        <v>268</v>
      </c>
      <c r="F49" s="6" t="s">
        <v>269</v>
      </c>
      <c r="G49" s="6" t="s">
        <v>25</v>
      </c>
      <c r="H49" s="7" t="s">
        <v>3</v>
      </c>
      <c r="I49" s="6" t="s">
        <v>240</v>
      </c>
      <c r="J49" s="6" t="s">
        <v>27</v>
      </c>
    </row>
    <row r="50" customFormat="false" ht="15" hidden="false" customHeight="false" outlineLevel="0" collapsed="false">
      <c r="A50" s="4" t="s">
        <v>270</v>
      </c>
      <c r="B50" s="4" t="s">
        <v>271</v>
      </c>
      <c r="C50" s="4" t="s">
        <v>272</v>
      </c>
      <c r="D50" s="4" t="s">
        <v>212</v>
      </c>
      <c r="E50" s="4" t="s">
        <v>273</v>
      </c>
      <c r="F50" s="4" t="s">
        <v>274</v>
      </c>
      <c r="G50" s="4" t="s">
        <v>25</v>
      </c>
      <c r="H50" s="5" t="s">
        <v>2</v>
      </c>
      <c r="I50" s="4" t="s">
        <v>240</v>
      </c>
      <c r="J50" s="4" t="s">
        <v>27</v>
      </c>
    </row>
    <row r="51" customFormat="false" ht="15" hidden="false" customHeight="false" outlineLevel="0" collapsed="false">
      <c r="A51" s="6" t="s">
        <v>275</v>
      </c>
      <c r="B51" s="6" t="s">
        <v>271</v>
      </c>
      <c r="C51" s="6" t="s">
        <v>276</v>
      </c>
      <c r="D51" s="6" t="s">
        <v>277</v>
      </c>
      <c r="E51" s="6" t="s">
        <v>278</v>
      </c>
      <c r="F51" s="6" t="s">
        <v>279</v>
      </c>
      <c r="G51" s="6" t="s">
        <v>25</v>
      </c>
      <c r="H51" s="7" t="s">
        <v>3</v>
      </c>
      <c r="I51" s="6" t="s">
        <v>240</v>
      </c>
      <c r="J51" s="6" t="s">
        <v>27</v>
      </c>
    </row>
    <row r="52" customFormat="false" ht="15" hidden="false" customHeight="false" outlineLevel="0" collapsed="false">
      <c r="A52" s="4" t="s">
        <v>280</v>
      </c>
      <c r="B52" s="4" t="s">
        <v>271</v>
      </c>
      <c r="C52" s="4" t="s">
        <v>281</v>
      </c>
      <c r="D52" s="4" t="s">
        <v>282</v>
      </c>
      <c r="E52" s="4" t="s">
        <v>283</v>
      </c>
      <c r="F52" s="4" t="s">
        <v>284</v>
      </c>
      <c r="G52" s="4" t="s">
        <v>25</v>
      </c>
      <c r="H52" s="5" t="s">
        <v>2</v>
      </c>
      <c r="I52" s="4" t="s">
        <v>240</v>
      </c>
      <c r="J52" s="4" t="s">
        <v>27</v>
      </c>
    </row>
    <row r="53" customFormat="false" ht="15" hidden="false" customHeight="false" outlineLevel="0" collapsed="false">
      <c r="A53" s="6" t="s">
        <v>285</v>
      </c>
      <c r="B53" s="6" t="s">
        <v>271</v>
      </c>
      <c r="C53" s="6" t="s">
        <v>286</v>
      </c>
      <c r="D53" s="6" t="s">
        <v>287</v>
      </c>
      <c r="E53" s="6" t="s">
        <v>288</v>
      </c>
      <c r="F53" s="6" t="s">
        <v>289</v>
      </c>
      <c r="G53" s="6" t="s">
        <v>33</v>
      </c>
      <c r="H53" s="7" t="s">
        <v>3</v>
      </c>
      <c r="I53" s="6" t="s">
        <v>240</v>
      </c>
      <c r="J53" s="6" t="s">
        <v>27</v>
      </c>
    </row>
    <row r="54" customFormat="false" ht="23.85" hidden="false" customHeight="false" outlineLevel="0" collapsed="false">
      <c r="A54" s="4" t="s">
        <v>290</v>
      </c>
      <c r="B54" s="4" t="s">
        <v>291</v>
      </c>
      <c r="C54" s="4" t="s">
        <v>292</v>
      </c>
      <c r="D54" s="4" t="s">
        <v>77</v>
      </c>
      <c r="E54" s="4" t="s">
        <v>293</v>
      </c>
      <c r="F54" s="4" t="s">
        <v>294</v>
      </c>
      <c r="G54" s="4" t="s">
        <v>25</v>
      </c>
      <c r="H54" s="5" t="s">
        <v>2</v>
      </c>
      <c r="I54" s="4" t="s">
        <v>240</v>
      </c>
      <c r="J54" s="4" t="s">
        <v>27</v>
      </c>
    </row>
    <row r="55" customFormat="false" ht="15" hidden="false" customHeight="false" outlineLevel="0" collapsed="false">
      <c r="A55" s="6" t="s">
        <v>295</v>
      </c>
      <c r="B55" s="6" t="s">
        <v>291</v>
      </c>
      <c r="C55" s="6" t="s">
        <v>296</v>
      </c>
      <c r="D55" s="6" t="s">
        <v>119</v>
      </c>
      <c r="E55" s="6" t="s">
        <v>297</v>
      </c>
      <c r="F55" s="6" t="s">
        <v>136</v>
      </c>
      <c r="G55" s="6" t="s">
        <v>33</v>
      </c>
      <c r="H55" s="7" t="s">
        <v>3</v>
      </c>
      <c r="I55" s="6" t="s">
        <v>240</v>
      </c>
      <c r="J55" s="6" t="s">
        <v>27</v>
      </c>
    </row>
    <row r="56" customFormat="false" ht="23.85" hidden="false" customHeight="false" outlineLevel="0" collapsed="false">
      <c r="A56" s="4" t="s">
        <v>298</v>
      </c>
      <c r="B56" s="4" t="s">
        <v>299</v>
      </c>
      <c r="C56" s="4" t="s">
        <v>300</v>
      </c>
      <c r="D56" s="4" t="s">
        <v>89</v>
      </c>
      <c r="E56" s="4" t="s">
        <v>301</v>
      </c>
      <c r="F56" s="4" t="s">
        <v>302</v>
      </c>
      <c r="G56" s="4" t="s">
        <v>25</v>
      </c>
      <c r="H56" s="5" t="s">
        <v>2</v>
      </c>
      <c r="I56" s="4" t="s">
        <v>240</v>
      </c>
      <c r="J56" s="4" t="s">
        <v>27</v>
      </c>
    </row>
    <row r="57" customFormat="false" ht="15" hidden="false" customHeight="false" outlineLevel="0" collapsed="false">
      <c r="A57" s="6" t="s">
        <v>303</v>
      </c>
      <c r="B57" s="6" t="s">
        <v>299</v>
      </c>
      <c r="C57" s="6" t="s">
        <v>304</v>
      </c>
      <c r="D57" s="6" t="s">
        <v>305</v>
      </c>
      <c r="E57" s="6" t="s">
        <v>306</v>
      </c>
      <c r="F57" s="6" t="s">
        <v>307</v>
      </c>
      <c r="G57" s="6" t="s">
        <v>25</v>
      </c>
      <c r="H57" s="5" t="s">
        <v>2</v>
      </c>
      <c r="I57" s="6" t="s">
        <v>240</v>
      </c>
      <c r="J57" s="6" t="s">
        <v>27</v>
      </c>
    </row>
    <row r="58" customFormat="false" ht="15" hidden="false" customHeight="false" outlineLevel="0" collapsed="false">
      <c r="A58" s="4" t="s">
        <v>308</v>
      </c>
      <c r="B58" s="4" t="s">
        <v>299</v>
      </c>
      <c r="C58" s="4" t="s">
        <v>309</v>
      </c>
      <c r="D58" s="4" t="s">
        <v>310</v>
      </c>
      <c r="E58" s="4" t="s">
        <v>311</v>
      </c>
      <c r="F58" s="4" t="s">
        <v>312</v>
      </c>
      <c r="G58" s="4" t="s">
        <v>33</v>
      </c>
      <c r="H58" s="7" t="s">
        <v>3</v>
      </c>
      <c r="I58" s="4" t="s">
        <v>240</v>
      </c>
      <c r="J58" s="4" t="s">
        <v>27</v>
      </c>
    </row>
    <row r="59" customFormat="false" ht="23.85" hidden="false" customHeight="false" outlineLevel="0" collapsed="false">
      <c r="A59" s="6" t="s">
        <v>313</v>
      </c>
      <c r="B59" s="6" t="s">
        <v>314</v>
      </c>
      <c r="C59" s="6" t="s">
        <v>315</v>
      </c>
      <c r="D59" s="6" t="s">
        <v>316</v>
      </c>
      <c r="E59" s="6" t="s">
        <v>317</v>
      </c>
      <c r="F59" s="6" t="s">
        <v>318</v>
      </c>
      <c r="G59" s="6" t="s">
        <v>25</v>
      </c>
      <c r="H59" s="7" t="s">
        <v>3</v>
      </c>
      <c r="I59" s="6" t="s">
        <v>240</v>
      </c>
      <c r="J59" s="6" t="s">
        <v>27</v>
      </c>
    </row>
    <row r="60" customFormat="false" ht="23.85" hidden="false" customHeight="false" outlineLevel="0" collapsed="false">
      <c r="A60" s="4" t="s">
        <v>319</v>
      </c>
      <c r="B60" s="4" t="s">
        <v>320</v>
      </c>
      <c r="C60" s="4" t="s">
        <v>321</v>
      </c>
      <c r="D60" s="4" t="s">
        <v>89</v>
      </c>
      <c r="E60" s="4" t="s">
        <v>322</v>
      </c>
      <c r="F60" s="4" t="s">
        <v>323</v>
      </c>
      <c r="G60" s="4" t="s">
        <v>25</v>
      </c>
      <c r="H60" s="5" t="s">
        <v>2</v>
      </c>
      <c r="I60" s="4" t="s">
        <v>324</v>
      </c>
      <c r="J60" s="4" t="s">
        <v>27</v>
      </c>
    </row>
    <row r="61" customFormat="false" ht="15" hidden="false" customHeight="false" outlineLevel="0" collapsed="false">
      <c r="A61" s="6" t="s">
        <v>325</v>
      </c>
      <c r="B61" s="6" t="s">
        <v>320</v>
      </c>
      <c r="C61" s="6" t="s">
        <v>326</v>
      </c>
      <c r="D61" s="6" t="s">
        <v>327</v>
      </c>
      <c r="E61" s="6" t="s">
        <v>328</v>
      </c>
      <c r="F61" s="6" t="s">
        <v>329</v>
      </c>
      <c r="G61" s="6" t="s">
        <v>33</v>
      </c>
      <c r="H61" s="5" t="s">
        <v>2</v>
      </c>
      <c r="I61" s="6" t="s">
        <v>324</v>
      </c>
      <c r="J61" s="6" t="s">
        <v>27</v>
      </c>
    </row>
    <row r="62" customFormat="false" ht="23.85" hidden="false" customHeight="false" outlineLevel="0" collapsed="false">
      <c r="A62" s="4" t="s">
        <v>330</v>
      </c>
      <c r="B62" s="4" t="s">
        <v>320</v>
      </c>
      <c r="C62" s="4" t="s">
        <v>331</v>
      </c>
      <c r="D62" s="4" t="s">
        <v>332</v>
      </c>
      <c r="E62" s="4" t="s">
        <v>333</v>
      </c>
      <c r="F62" s="4" t="s">
        <v>334</v>
      </c>
      <c r="G62" s="4" t="s">
        <v>25</v>
      </c>
      <c r="H62" s="5" t="s">
        <v>2</v>
      </c>
      <c r="I62" s="4" t="s">
        <v>324</v>
      </c>
      <c r="J62" s="4" t="s">
        <v>27</v>
      </c>
    </row>
    <row r="63" customFormat="false" ht="23.85" hidden="false" customHeight="false" outlineLevel="0" collapsed="false">
      <c r="A63" s="6" t="s">
        <v>335</v>
      </c>
      <c r="B63" s="6" t="s">
        <v>320</v>
      </c>
      <c r="C63" s="6" t="s">
        <v>336</v>
      </c>
      <c r="D63" s="6" t="s">
        <v>337</v>
      </c>
      <c r="E63" s="6" t="s">
        <v>338</v>
      </c>
      <c r="F63" s="6" t="s">
        <v>339</v>
      </c>
      <c r="G63" s="6" t="s">
        <v>33</v>
      </c>
      <c r="H63" s="5" t="s">
        <v>2</v>
      </c>
      <c r="I63" s="6" t="s">
        <v>324</v>
      </c>
      <c r="J63" s="6" t="s">
        <v>27</v>
      </c>
    </row>
    <row r="64" customFormat="false" ht="15" hidden="false" customHeight="false" outlineLevel="0" collapsed="false">
      <c r="A64" s="4" t="s">
        <v>340</v>
      </c>
      <c r="B64" s="4" t="s">
        <v>320</v>
      </c>
      <c r="C64" s="4" t="s">
        <v>341</v>
      </c>
      <c r="D64" s="4" t="s">
        <v>342</v>
      </c>
      <c r="E64" s="4" t="s">
        <v>338</v>
      </c>
      <c r="F64" s="4" t="s">
        <v>343</v>
      </c>
      <c r="G64" s="4" t="s">
        <v>25</v>
      </c>
      <c r="H64" s="5" t="s">
        <v>2</v>
      </c>
      <c r="I64" s="4" t="s">
        <v>324</v>
      </c>
      <c r="J64" s="4" t="s">
        <v>27</v>
      </c>
    </row>
    <row r="65" customFormat="false" ht="23.85" hidden="false" customHeight="false" outlineLevel="0" collapsed="false">
      <c r="A65" s="6" t="s">
        <v>344</v>
      </c>
      <c r="B65" s="6" t="s">
        <v>320</v>
      </c>
      <c r="C65" s="6" t="s">
        <v>345</v>
      </c>
      <c r="D65" s="6" t="s">
        <v>346</v>
      </c>
      <c r="E65" s="6" t="s">
        <v>347</v>
      </c>
      <c r="F65" s="6" t="s">
        <v>348</v>
      </c>
      <c r="G65" s="6" t="s">
        <v>25</v>
      </c>
      <c r="H65" s="5" t="s">
        <v>2</v>
      </c>
      <c r="I65" s="6" t="s">
        <v>324</v>
      </c>
      <c r="J65" s="6" t="s">
        <v>27</v>
      </c>
    </row>
    <row r="66" customFormat="false" ht="23.85" hidden="false" customHeight="false" outlineLevel="0" collapsed="false">
      <c r="A66" s="4" t="s">
        <v>349</v>
      </c>
      <c r="B66" s="4" t="s">
        <v>320</v>
      </c>
      <c r="C66" s="4" t="s">
        <v>350</v>
      </c>
      <c r="D66" s="4" t="s">
        <v>351</v>
      </c>
      <c r="E66" s="4" t="s">
        <v>352</v>
      </c>
      <c r="F66" s="4" t="s">
        <v>353</v>
      </c>
      <c r="G66" s="4" t="s">
        <v>25</v>
      </c>
      <c r="H66" s="5" t="s">
        <v>2</v>
      </c>
      <c r="I66" s="4" t="s">
        <v>324</v>
      </c>
      <c r="J66" s="4" t="s">
        <v>27</v>
      </c>
    </row>
    <row r="67" customFormat="false" ht="35.05" hidden="false" customHeight="false" outlineLevel="0" collapsed="false">
      <c r="A67" s="6" t="s">
        <v>354</v>
      </c>
      <c r="B67" s="6" t="s">
        <v>320</v>
      </c>
      <c r="C67" s="6" t="s">
        <v>355</v>
      </c>
      <c r="D67" s="6" t="s">
        <v>356</v>
      </c>
      <c r="E67" s="6" t="s">
        <v>357</v>
      </c>
      <c r="F67" s="6" t="s">
        <v>358</v>
      </c>
      <c r="G67" s="6" t="s">
        <v>25</v>
      </c>
      <c r="H67" s="5" t="s">
        <v>2</v>
      </c>
      <c r="I67" s="6" t="s">
        <v>324</v>
      </c>
      <c r="J67" s="6" t="s">
        <v>27</v>
      </c>
    </row>
    <row r="68" customFormat="false" ht="15" hidden="false" customHeight="false" outlineLevel="0" collapsed="false">
      <c r="A68" s="4" t="s">
        <v>359</v>
      </c>
      <c r="B68" s="4" t="s">
        <v>320</v>
      </c>
      <c r="C68" s="4" t="s">
        <v>360</v>
      </c>
      <c r="D68" s="4" t="s">
        <v>361</v>
      </c>
      <c r="E68" s="4" t="s">
        <v>362</v>
      </c>
      <c r="F68" s="4" t="s">
        <v>363</v>
      </c>
      <c r="G68" s="4" t="s">
        <v>33</v>
      </c>
      <c r="H68" s="7" t="s">
        <v>3</v>
      </c>
      <c r="I68" s="4" t="s">
        <v>324</v>
      </c>
      <c r="J68" s="4" t="s">
        <v>27</v>
      </c>
    </row>
    <row r="69" customFormat="false" ht="15" hidden="false" customHeight="false" outlineLevel="0" collapsed="false">
      <c r="A69" s="6" t="s">
        <v>364</v>
      </c>
      <c r="B69" s="6" t="s">
        <v>320</v>
      </c>
      <c r="C69" s="6" t="s">
        <v>365</v>
      </c>
      <c r="D69" s="6" t="s">
        <v>366</v>
      </c>
      <c r="E69" s="6" t="s">
        <v>367</v>
      </c>
      <c r="F69" s="6" t="s">
        <v>368</v>
      </c>
      <c r="G69" s="6" t="s">
        <v>25</v>
      </c>
      <c r="H69" s="7" t="s">
        <v>3</v>
      </c>
      <c r="I69" s="6" t="s">
        <v>324</v>
      </c>
      <c r="J69" s="6" t="s">
        <v>27</v>
      </c>
    </row>
    <row r="70" customFormat="false" ht="23.85" hidden="false" customHeight="false" outlineLevel="0" collapsed="false">
      <c r="A70" s="4" t="s">
        <v>369</v>
      </c>
      <c r="B70" s="4" t="s">
        <v>320</v>
      </c>
      <c r="C70" s="4" t="s">
        <v>370</v>
      </c>
      <c r="D70" s="4" t="s">
        <v>371</v>
      </c>
      <c r="E70" s="4" t="s">
        <v>372</v>
      </c>
      <c r="F70" s="4" t="s">
        <v>373</v>
      </c>
      <c r="G70" s="4" t="s">
        <v>374</v>
      </c>
      <c r="H70" s="5" t="s">
        <v>2</v>
      </c>
      <c r="I70" s="4" t="s">
        <v>324</v>
      </c>
      <c r="J70" s="4" t="s">
        <v>27</v>
      </c>
    </row>
    <row r="71" customFormat="false" ht="23.85" hidden="false" customHeight="false" outlineLevel="0" collapsed="false">
      <c r="A71" s="6" t="s">
        <v>375</v>
      </c>
      <c r="B71" s="6" t="s">
        <v>376</v>
      </c>
      <c r="C71" s="6" t="s">
        <v>377</v>
      </c>
      <c r="D71" s="6" t="s">
        <v>89</v>
      </c>
      <c r="E71" s="6" t="s">
        <v>378</v>
      </c>
      <c r="F71" s="6" t="s">
        <v>353</v>
      </c>
      <c r="G71" s="6" t="s">
        <v>25</v>
      </c>
      <c r="H71" s="5" t="s">
        <v>2</v>
      </c>
      <c r="I71" s="6" t="s">
        <v>324</v>
      </c>
      <c r="J71" s="6" t="s">
        <v>27</v>
      </c>
    </row>
    <row r="72" customFormat="false" ht="15" hidden="false" customHeight="false" outlineLevel="0" collapsed="false">
      <c r="A72" s="4" t="s">
        <v>379</v>
      </c>
      <c r="B72" s="4" t="s">
        <v>376</v>
      </c>
      <c r="C72" s="4" t="s">
        <v>380</v>
      </c>
      <c r="D72" s="4" t="s">
        <v>381</v>
      </c>
      <c r="E72" s="4" t="s">
        <v>382</v>
      </c>
      <c r="F72" s="4" t="s">
        <v>383</v>
      </c>
      <c r="G72" s="4" t="s">
        <v>25</v>
      </c>
      <c r="H72" s="5" t="s">
        <v>2</v>
      </c>
      <c r="I72" s="4" t="s">
        <v>324</v>
      </c>
      <c r="J72" s="4" t="s">
        <v>27</v>
      </c>
    </row>
    <row r="73" customFormat="false" ht="23.85" hidden="false" customHeight="false" outlineLevel="0" collapsed="false">
      <c r="A73" s="6" t="s">
        <v>384</v>
      </c>
      <c r="B73" s="6" t="s">
        <v>385</v>
      </c>
      <c r="C73" s="6" t="s">
        <v>386</v>
      </c>
      <c r="D73" s="6" t="s">
        <v>387</v>
      </c>
      <c r="E73" s="6" t="s">
        <v>388</v>
      </c>
      <c r="F73" s="6" t="s">
        <v>79</v>
      </c>
      <c r="G73" s="6" t="s">
        <v>80</v>
      </c>
      <c r="H73" s="5" t="s">
        <v>2</v>
      </c>
      <c r="I73" s="6" t="s">
        <v>324</v>
      </c>
      <c r="J73" s="6" t="s">
        <v>27</v>
      </c>
    </row>
    <row r="74" customFormat="false" ht="15" hidden="false" customHeight="false" outlineLevel="0" collapsed="false">
      <c r="A74" s="4" t="s">
        <v>389</v>
      </c>
      <c r="B74" s="4" t="s">
        <v>80</v>
      </c>
      <c r="C74" s="4" t="s">
        <v>390</v>
      </c>
      <c r="D74" s="4" t="s">
        <v>391</v>
      </c>
      <c r="E74" s="4" t="s">
        <v>392</v>
      </c>
      <c r="F74" s="4" t="s">
        <v>393</v>
      </c>
      <c r="G74" s="4" t="s">
        <v>80</v>
      </c>
      <c r="H74" s="5" t="s">
        <v>2</v>
      </c>
      <c r="I74" s="4" t="s">
        <v>394</v>
      </c>
      <c r="J74" s="4" t="s">
        <v>27</v>
      </c>
    </row>
    <row r="75" customFormat="false" ht="15" hidden="false" customHeight="false" outlineLevel="0" collapsed="false">
      <c r="A75" s="6" t="s">
        <v>395</v>
      </c>
      <c r="B75" s="6" t="s">
        <v>80</v>
      </c>
      <c r="C75" s="6" t="s">
        <v>396</v>
      </c>
      <c r="D75" s="6" t="s">
        <v>397</v>
      </c>
      <c r="E75" s="6" t="s">
        <v>398</v>
      </c>
      <c r="F75" s="6" t="s">
        <v>399</v>
      </c>
      <c r="G75" s="6" t="s">
        <v>80</v>
      </c>
      <c r="H75" s="5" t="s">
        <v>2</v>
      </c>
      <c r="I75" s="6" t="s">
        <v>394</v>
      </c>
      <c r="J75" s="6" t="s">
        <v>27</v>
      </c>
    </row>
    <row r="76" customFormat="false" ht="15" hidden="false" customHeight="false" outlineLevel="0" collapsed="false">
      <c r="A76" s="4" t="s">
        <v>400</v>
      </c>
      <c r="B76" s="4" t="s">
        <v>80</v>
      </c>
      <c r="C76" s="4" t="s">
        <v>401</v>
      </c>
      <c r="D76" s="4" t="s">
        <v>119</v>
      </c>
      <c r="E76" s="4" t="s">
        <v>402</v>
      </c>
      <c r="F76" s="4" t="s">
        <v>403</v>
      </c>
      <c r="G76" s="4" t="s">
        <v>80</v>
      </c>
      <c r="H76" s="5" t="s">
        <v>2</v>
      </c>
      <c r="I76" s="4" t="s">
        <v>394</v>
      </c>
      <c r="J76" s="4" t="s">
        <v>27</v>
      </c>
    </row>
    <row r="77" customFormat="false" ht="15" hidden="false" customHeight="false" outlineLevel="0" collapsed="false">
      <c r="A77" s="6" t="s">
        <v>404</v>
      </c>
      <c r="B77" s="6" t="s">
        <v>80</v>
      </c>
      <c r="C77" s="6" t="s">
        <v>405</v>
      </c>
      <c r="D77" s="6" t="s">
        <v>119</v>
      </c>
      <c r="E77" s="6" t="s">
        <v>406</v>
      </c>
      <c r="F77" s="6" t="s">
        <v>407</v>
      </c>
      <c r="G77" s="6" t="s">
        <v>80</v>
      </c>
      <c r="H77" s="5" t="s">
        <v>2</v>
      </c>
      <c r="I77" s="6" t="s">
        <v>394</v>
      </c>
      <c r="J77" s="6" t="s">
        <v>27</v>
      </c>
    </row>
    <row r="78" customFormat="false" ht="15" hidden="false" customHeight="false" outlineLevel="0" collapsed="false">
      <c r="A78" s="4" t="s">
        <v>408</v>
      </c>
      <c r="B78" s="4" t="s">
        <v>409</v>
      </c>
      <c r="C78" s="4" t="s">
        <v>410</v>
      </c>
      <c r="D78" s="4" t="s">
        <v>411</v>
      </c>
      <c r="E78" s="4" t="s">
        <v>412</v>
      </c>
      <c r="F78" s="4" t="s">
        <v>413</v>
      </c>
      <c r="G78" s="4" t="s">
        <v>409</v>
      </c>
      <c r="H78" s="7" t="s">
        <v>3</v>
      </c>
      <c r="I78" s="4" t="s">
        <v>394</v>
      </c>
      <c r="J78" s="4" t="s">
        <v>27</v>
      </c>
    </row>
    <row r="79" customFormat="false" ht="15" hidden="false" customHeight="false" outlineLevel="0" collapsed="false">
      <c r="A79" s="6" t="s">
        <v>414</v>
      </c>
      <c r="B79" s="6" t="s">
        <v>409</v>
      </c>
      <c r="C79" s="6" t="s">
        <v>415</v>
      </c>
      <c r="D79" s="6" t="s">
        <v>119</v>
      </c>
      <c r="E79" s="6" t="s">
        <v>416</v>
      </c>
      <c r="F79" s="6" t="s">
        <v>417</v>
      </c>
      <c r="G79" s="6" t="s">
        <v>409</v>
      </c>
      <c r="H79" s="7" t="s">
        <v>3</v>
      </c>
      <c r="I79" s="6" t="s">
        <v>394</v>
      </c>
      <c r="J79" s="6" t="s">
        <v>27</v>
      </c>
    </row>
    <row r="80" customFormat="false" ht="15" hidden="false" customHeight="false" outlineLevel="0" collapsed="false">
      <c r="A80" s="4" t="s">
        <v>418</v>
      </c>
      <c r="B80" s="4" t="s">
        <v>419</v>
      </c>
      <c r="C80" s="4" t="s">
        <v>420</v>
      </c>
      <c r="D80" s="4" t="s">
        <v>119</v>
      </c>
      <c r="E80" s="4" t="s">
        <v>421</v>
      </c>
      <c r="F80" s="4" t="s">
        <v>422</v>
      </c>
      <c r="G80" s="4" t="s">
        <v>423</v>
      </c>
      <c r="H80" s="7" t="s">
        <v>3</v>
      </c>
      <c r="I80" s="4" t="s">
        <v>394</v>
      </c>
      <c r="J80" s="4" t="s">
        <v>27</v>
      </c>
    </row>
    <row r="81" customFormat="false" ht="15" hidden="false" customHeight="false" outlineLevel="0" collapsed="false">
      <c r="A81" s="6" t="s">
        <v>424</v>
      </c>
      <c r="B81" s="6" t="s">
        <v>419</v>
      </c>
      <c r="C81" s="6" t="s">
        <v>425</v>
      </c>
      <c r="D81" s="6" t="s">
        <v>119</v>
      </c>
      <c r="E81" s="6" t="s">
        <v>426</v>
      </c>
      <c r="F81" s="6" t="s">
        <v>427</v>
      </c>
      <c r="G81" s="6" t="s">
        <v>423</v>
      </c>
      <c r="H81" s="7" t="s">
        <v>3</v>
      </c>
      <c r="I81" s="6" t="s">
        <v>394</v>
      </c>
      <c r="J81" s="6" t="s">
        <v>27</v>
      </c>
    </row>
    <row r="82" customFormat="false" ht="15" hidden="false" customHeight="false" outlineLevel="0" collapsed="false">
      <c r="A82" s="4" t="s">
        <v>428</v>
      </c>
      <c r="B82" s="4" t="s">
        <v>429</v>
      </c>
      <c r="C82" s="4" t="s">
        <v>430</v>
      </c>
      <c r="D82" s="4" t="s">
        <v>119</v>
      </c>
      <c r="E82" s="4" t="s">
        <v>431</v>
      </c>
      <c r="F82" s="4" t="s">
        <v>432</v>
      </c>
      <c r="G82" s="4" t="s">
        <v>423</v>
      </c>
      <c r="H82" s="7" t="s">
        <v>3</v>
      </c>
      <c r="I82" s="4" t="s">
        <v>394</v>
      </c>
      <c r="J82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6" min="5" style="0" width="50"/>
    <col collapsed="false" customWidth="true" hidden="false" outlineLevel="0" max="7" min="7" style="0" width="12"/>
    <col collapsed="false" customWidth="true" hidden="false" outlineLevel="0" max="10" min="8" style="0" width="10"/>
  </cols>
  <sheetData>
    <row r="1" customFormat="false" ht="25.5" hidden="false" customHeight="true" outlineLevel="0" collapsed="false">
      <c r="A1" s="3" t="s">
        <v>10</v>
      </c>
      <c r="B1" s="3" t="s">
        <v>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customFormat="false" ht="46.25" hidden="false" customHeight="false" outlineLevel="0" collapsed="false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5" t="s">
        <v>2</v>
      </c>
      <c r="I2" s="4" t="s">
        <v>26</v>
      </c>
      <c r="J2" s="4" t="s">
        <v>27</v>
      </c>
    </row>
    <row r="3" customFormat="false" ht="15" hidden="false" customHeight="false" outlineLevel="0" collapsed="false">
      <c r="A3" s="6" t="s">
        <v>28</v>
      </c>
      <c r="B3" s="6" t="s">
        <v>20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5" t="s">
        <v>2</v>
      </c>
      <c r="I3" s="6" t="s">
        <v>26</v>
      </c>
      <c r="J3" s="6" t="s">
        <v>27</v>
      </c>
    </row>
    <row r="4" customFormat="false" ht="15" hidden="false" customHeight="false" outlineLevel="0" collapsed="false">
      <c r="A4" s="4" t="s">
        <v>34</v>
      </c>
      <c r="B4" s="4" t="s">
        <v>20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25</v>
      </c>
      <c r="H4" s="7" t="s">
        <v>3</v>
      </c>
      <c r="I4" s="4" t="s">
        <v>26</v>
      </c>
      <c r="J4" s="4" t="s">
        <v>27</v>
      </c>
    </row>
    <row r="5" customFormat="false" ht="15" hidden="false" customHeight="false" outlineLevel="0" collapsed="false">
      <c r="A5" s="6" t="s">
        <v>39</v>
      </c>
      <c r="B5" s="6" t="s">
        <v>20</v>
      </c>
      <c r="C5" s="6" t="s">
        <v>40</v>
      </c>
      <c r="D5" s="6" t="s">
        <v>41</v>
      </c>
      <c r="E5" s="6" t="s">
        <v>42</v>
      </c>
      <c r="F5" s="6" t="s">
        <v>43</v>
      </c>
      <c r="G5" s="6" t="s">
        <v>33</v>
      </c>
      <c r="H5" s="7" t="s">
        <v>3</v>
      </c>
      <c r="I5" s="6" t="s">
        <v>26</v>
      </c>
      <c r="J5" s="6" t="s">
        <v>27</v>
      </c>
    </row>
    <row r="6" customFormat="false" ht="23.85" hidden="false" customHeight="false" outlineLevel="0" collapsed="false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25</v>
      </c>
      <c r="H6" s="5" t="s">
        <v>2</v>
      </c>
      <c r="I6" s="4" t="s">
        <v>26</v>
      </c>
      <c r="J6" s="4" t="s">
        <v>27</v>
      </c>
    </row>
    <row r="7" customFormat="false" ht="23.85" hidden="false" customHeight="false" outlineLevel="0" collapsed="false">
      <c r="A7" s="6" t="s">
        <v>50</v>
      </c>
      <c r="B7" s="6" t="s">
        <v>45</v>
      </c>
      <c r="C7" s="6" t="s">
        <v>51</v>
      </c>
      <c r="D7" s="6" t="s">
        <v>52</v>
      </c>
      <c r="E7" s="6" t="s">
        <v>53</v>
      </c>
      <c r="F7" s="6" t="s">
        <v>54</v>
      </c>
      <c r="G7" s="6" t="s">
        <v>25</v>
      </c>
      <c r="H7" s="5" t="s">
        <v>2</v>
      </c>
      <c r="I7" s="6" t="s">
        <v>26</v>
      </c>
      <c r="J7" s="6" t="s">
        <v>27</v>
      </c>
    </row>
    <row r="8" customFormat="false" ht="23.85" hidden="false" customHeight="false" outlineLevel="0" collapsed="false">
      <c r="A8" s="4" t="s">
        <v>55</v>
      </c>
      <c r="B8" s="4" t="s">
        <v>45</v>
      </c>
      <c r="C8" s="4" t="s">
        <v>56</v>
      </c>
      <c r="D8" s="4" t="s">
        <v>52</v>
      </c>
      <c r="E8" s="4" t="s">
        <v>57</v>
      </c>
      <c r="F8" s="4" t="s">
        <v>58</v>
      </c>
      <c r="G8" s="4" t="s">
        <v>33</v>
      </c>
      <c r="H8" s="5" t="s">
        <v>2</v>
      </c>
      <c r="I8" s="4" t="s">
        <v>26</v>
      </c>
      <c r="J8" s="4" t="s">
        <v>27</v>
      </c>
    </row>
    <row r="9" customFormat="false" ht="23.85" hidden="false" customHeight="false" outlineLevel="0" collapsed="false">
      <c r="A9" s="6" t="s">
        <v>59</v>
      </c>
      <c r="B9" s="6" t="s">
        <v>45</v>
      </c>
      <c r="C9" s="6" t="s">
        <v>60</v>
      </c>
      <c r="D9" s="6" t="s">
        <v>61</v>
      </c>
      <c r="E9" s="6" t="s">
        <v>62</v>
      </c>
      <c r="F9" s="6" t="s">
        <v>63</v>
      </c>
      <c r="G9" s="6" t="s">
        <v>25</v>
      </c>
      <c r="H9" s="5" t="s">
        <v>2</v>
      </c>
      <c r="I9" s="6" t="s">
        <v>26</v>
      </c>
      <c r="J9" s="6" t="s">
        <v>27</v>
      </c>
    </row>
    <row r="10" customFormat="false" ht="23.85" hidden="false" customHeight="false" outlineLevel="0" collapsed="false">
      <c r="A10" s="4" t="s">
        <v>64</v>
      </c>
      <c r="B10" s="4" t="s">
        <v>45</v>
      </c>
      <c r="C10" s="4" t="s">
        <v>65</v>
      </c>
      <c r="D10" s="4" t="s">
        <v>66</v>
      </c>
      <c r="E10" s="4" t="s">
        <v>67</v>
      </c>
      <c r="F10" s="4" t="s">
        <v>68</v>
      </c>
      <c r="G10" s="4" t="s">
        <v>69</v>
      </c>
      <c r="H10" s="5" t="s">
        <v>2</v>
      </c>
      <c r="I10" s="4" t="s">
        <v>26</v>
      </c>
      <c r="J10" s="4" t="s">
        <v>27</v>
      </c>
    </row>
    <row r="11" customFormat="false" ht="23.85" hidden="false" customHeight="false" outlineLevel="0" collapsed="false">
      <c r="A11" s="6" t="s">
        <v>70</v>
      </c>
      <c r="B11" s="6" t="s">
        <v>45</v>
      </c>
      <c r="C11" s="6" t="s">
        <v>71</v>
      </c>
      <c r="D11" s="6" t="s">
        <v>72</v>
      </c>
      <c r="E11" s="6" t="s">
        <v>73</v>
      </c>
      <c r="F11" s="6" t="s">
        <v>74</v>
      </c>
      <c r="G11" s="6" t="s">
        <v>69</v>
      </c>
      <c r="H11" s="5" t="s">
        <v>2</v>
      </c>
      <c r="I11" s="6" t="s">
        <v>26</v>
      </c>
      <c r="J11" s="6" t="s">
        <v>27</v>
      </c>
    </row>
    <row r="12" customFormat="false" ht="23.85" hidden="false" customHeight="false" outlineLevel="0" collapsed="false">
      <c r="A12" s="4" t="s">
        <v>75</v>
      </c>
      <c r="B12" s="4" t="s">
        <v>45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80</v>
      </c>
      <c r="H12" s="5" t="s">
        <v>2</v>
      </c>
      <c r="I12" s="4" t="s">
        <v>26</v>
      </c>
      <c r="J12" s="4" t="s">
        <v>27</v>
      </c>
    </row>
    <row r="13" customFormat="false" ht="15" hidden="false" customHeight="false" outlineLevel="0" collapsed="false">
      <c r="A13" s="6" t="s">
        <v>81</v>
      </c>
      <c r="B13" s="6" t="s">
        <v>45</v>
      </c>
      <c r="C13" s="6" t="s">
        <v>82</v>
      </c>
      <c r="D13" s="6" t="s">
        <v>83</v>
      </c>
      <c r="E13" s="6" t="s">
        <v>84</v>
      </c>
      <c r="F13" s="6" t="s">
        <v>85</v>
      </c>
      <c r="G13" s="6" t="s">
        <v>25</v>
      </c>
      <c r="H13" s="7" t="s">
        <v>3</v>
      </c>
      <c r="I13" s="6" t="s">
        <v>26</v>
      </c>
      <c r="J13" s="6" t="s">
        <v>27</v>
      </c>
    </row>
    <row r="14" customFormat="false" ht="15" hidden="false" customHeight="false" outlineLevel="0" collapsed="false">
      <c r="A14" s="4" t="s">
        <v>86</v>
      </c>
      <c r="B14" s="4" t="s">
        <v>87</v>
      </c>
      <c r="C14" s="4" t="s">
        <v>88</v>
      </c>
      <c r="D14" s="4" t="s">
        <v>89</v>
      </c>
      <c r="E14" s="4" t="s">
        <v>90</v>
      </c>
      <c r="F14" s="4" t="s">
        <v>91</v>
      </c>
      <c r="G14" s="4" t="s">
        <v>25</v>
      </c>
      <c r="H14" s="5" t="s">
        <v>2</v>
      </c>
      <c r="I14" s="4" t="s">
        <v>26</v>
      </c>
      <c r="J14" s="4" t="s">
        <v>27</v>
      </c>
    </row>
    <row r="15" customFormat="false" ht="15" hidden="false" customHeight="false" outlineLevel="0" collapsed="false">
      <c r="A15" s="6" t="s">
        <v>92</v>
      </c>
      <c r="B15" s="6" t="s">
        <v>87</v>
      </c>
      <c r="C15" s="6" t="s">
        <v>93</v>
      </c>
      <c r="D15" s="6" t="s">
        <v>94</v>
      </c>
      <c r="E15" s="6" t="s">
        <v>95</v>
      </c>
      <c r="F15" s="6" t="s">
        <v>96</v>
      </c>
      <c r="G15" s="6" t="s">
        <v>33</v>
      </c>
      <c r="H15" s="7" t="s">
        <v>3</v>
      </c>
      <c r="I15" s="6" t="s">
        <v>26</v>
      </c>
      <c r="J15" s="6" t="s">
        <v>27</v>
      </c>
    </row>
    <row r="16" customFormat="false" ht="15" hidden="false" customHeight="false" outlineLevel="0" collapsed="false">
      <c r="A16" s="4" t="s">
        <v>97</v>
      </c>
      <c r="B16" s="4" t="s">
        <v>87</v>
      </c>
      <c r="C16" s="4" t="s">
        <v>98</v>
      </c>
      <c r="D16" s="4" t="s">
        <v>99</v>
      </c>
      <c r="E16" s="4" t="s">
        <v>100</v>
      </c>
      <c r="F16" s="4" t="s">
        <v>101</v>
      </c>
      <c r="G16" s="4" t="s">
        <v>25</v>
      </c>
      <c r="H16" s="5" t="s">
        <v>2</v>
      </c>
      <c r="I16" s="4" t="s">
        <v>26</v>
      </c>
      <c r="J16" s="4" t="s">
        <v>27</v>
      </c>
    </row>
    <row r="17" customFormat="false" ht="15" hidden="false" customHeight="false" outlineLevel="0" collapsed="false">
      <c r="A17" s="6" t="s">
        <v>102</v>
      </c>
      <c r="B17" s="6" t="s">
        <v>87</v>
      </c>
      <c r="C17" s="6" t="s">
        <v>103</v>
      </c>
      <c r="D17" s="6" t="s">
        <v>104</v>
      </c>
      <c r="E17" s="6" t="s">
        <v>105</v>
      </c>
      <c r="F17" s="6" t="s">
        <v>106</v>
      </c>
      <c r="G17" s="6" t="s">
        <v>33</v>
      </c>
      <c r="H17" s="5" t="s">
        <v>2</v>
      </c>
      <c r="I17" s="6" t="s">
        <v>26</v>
      </c>
      <c r="J17" s="6" t="s">
        <v>27</v>
      </c>
    </row>
    <row r="18" customFormat="false" ht="15" hidden="false" customHeight="false" outlineLevel="0" collapsed="false">
      <c r="A18" s="4" t="s">
        <v>107</v>
      </c>
      <c r="B18" s="4" t="s">
        <v>87</v>
      </c>
      <c r="C18" s="4" t="s">
        <v>108</v>
      </c>
      <c r="D18" s="4" t="s">
        <v>109</v>
      </c>
      <c r="E18" s="4" t="s">
        <v>110</v>
      </c>
      <c r="F18" s="4" t="s">
        <v>111</v>
      </c>
      <c r="G18" s="4" t="s">
        <v>25</v>
      </c>
      <c r="H18" s="5" t="s">
        <v>2</v>
      </c>
      <c r="I18" s="4" t="s">
        <v>26</v>
      </c>
      <c r="J18" s="4" t="s">
        <v>27</v>
      </c>
    </row>
    <row r="19" customFormat="false" ht="15" hidden="false" customHeight="false" outlineLevel="0" collapsed="false">
      <c r="A19" s="6" t="s">
        <v>112</v>
      </c>
      <c r="B19" s="6" t="s">
        <v>87</v>
      </c>
      <c r="C19" s="6" t="s">
        <v>113</v>
      </c>
      <c r="D19" s="6" t="s">
        <v>114</v>
      </c>
      <c r="E19" s="6" t="s">
        <v>115</v>
      </c>
      <c r="F19" s="6" t="s">
        <v>116</v>
      </c>
      <c r="G19" s="6" t="s">
        <v>69</v>
      </c>
      <c r="H19" s="5" t="s">
        <v>2</v>
      </c>
      <c r="I19" s="6" t="s">
        <v>26</v>
      </c>
      <c r="J19" s="6" t="s">
        <v>27</v>
      </c>
    </row>
    <row r="20" customFormat="false" ht="23.85" hidden="false" customHeight="false" outlineLevel="0" collapsed="false">
      <c r="A20" s="4" t="s">
        <v>117</v>
      </c>
      <c r="B20" s="4" t="s">
        <v>87</v>
      </c>
      <c r="C20" s="4" t="s">
        <v>118</v>
      </c>
      <c r="D20" s="4" t="s">
        <v>119</v>
      </c>
      <c r="E20" s="4" t="s">
        <v>120</v>
      </c>
      <c r="F20" s="4" t="s">
        <v>121</v>
      </c>
      <c r="G20" s="4" t="s">
        <v>33</v>
      </c>
      <c r="H20" s="7" t="s">
        <v>3</v>
      </c>
      <c r="I20" s="4" t="s">
        <v>26</v>
      </c>
      <c r="J20" s="4" t="s">
        <v>27</v>
      </c>
    </row>
    <row r="21" customFormat="false" ht="23.85" hidden="false" customHeight="false" outlineLevel="0" collapsed="false">
      <c r="A21" s="6" t="s">
        <v>122</v>
      </c>
      <c r="B21" s="6" t="s">
        <v>87</v>
      </c>
      <c r="C21" s="6" t="s">
        <v>123</v>
      </c>
      <c r="D21" s="6" t="s">
        <v>124</v>
      </c>
      <c r="E21" s="6" t="s">
        <v>125</v>
      </c>
      <c r="F21" s="6" t="s">
        <v>126</v>
      </c>
      <c r="G21" s="6" t="s">
        <v>25</v>
      </c>
      <c r="H21" s="5" t="s">
        <v>2</v>
      </c>
      <c r="I21" s="6" t="s">
        <v>26</v>
      </c>
      <c r="J21" s="6" t="s">
        <v>27</v>
      </c>
    </row>
    <row r="22" customFormat="false" ht="15" hidden="false" customHeight="false" outlineLevel="0" collapsed="false">
      <c r="A22" s="4" t="s">
        <v>127</v>
      </c>
      <c r="B22" s="4" t="s">
        <v>128</v>
      </c>
      <c r="C22" s="4" t="s">
        <v>129</v>
      </c>
      <c r="D22" s="4" t="s">
        <v>130</v>
      </c>
      <c r="E22" s="4" t="s">
        <v>131</v>
      </c>
      <c r="F22" s="4" t="s">
        <v>132</v>
      </c>
      <c r="G22" s="4" t="s">
        <v>25</v>
      </c>
      <c r="H22" s="5" t="s">
        <v>2</v>
      </c>
      <c r="I22" s="4" t="s">
        <v>26</v>
      </c>
      <c r="J22" s="4" t="s">
        <v>27</v>
      </c>
    </row>
    <row r="23" customFormat="false" ht="15" hidden="false" customHeight="false" outlineLevel="0" collapsed="false">
      <c r="A23" s="6" t="s">
        <v>133</v>
      </c>
      <c r="B23" s="6" t="s">
        <v>128</v>
      </c>
      <c r="C23" s="6" t="s">
        <v>134</v>
      </c>
      <c r="D23" s="6" t="s">
        <v>130</v>
      </c>
      <c r="E23" s="6" t="s">
        <v>135</v>
      </c>
      <c r="F23" s="6" t="s">
        <v>136</v>
      </c>
      <c r="G23" s="6" t="s">
        <v>33</v>
      </c>
      <c r="H23" s="7" t="s">
        <v>3</v>
      </c>
      <c r="I23" s="6" t="s">
        <v>26</v>
      </c>
      <c r="J23" s="6" t="s">
        <v>27</v>
      </c>
    </row>
    <row r="24" customFormat="false" ht="15" hidden="false" customHeight="false" outlineLevel="0" collapsed="false">
      <c r="A24" s="4" t="s">
        <v>137</v>
      </c>
      <c r="B24" s="4" t="s">
        <v>128</v>
      </c>
      <c r="C24" s="4" t="s">
        <v>138</v>
      </c>
      <c r="D24" s="4" t="s">
        <v>119</v>
      </c>
      <c r="E24" s="4" t="s">
        <v>139</v>
      </c>
      <c r="F24" s="4" t="s">
        <v>140</v>
      </c>
      <c r="G24" s="4" t="s">
        <v>33</v>
      </c>
      <c r="H24" s="8" t="s">
        <v>4</v>
      </c>
      <c r="I24" s="4" t="s">
        <v>26</v>
      </c>
      <c r="J24" s="4" t="s">
        <v>27</v>
      </c>
    </row>
    <row r="25" customFormat="false" ht="23.85" hidden="false" customHeight="false" outlineLevel="0" collapsed="false">
      <c r="A25" s="6" t="s">
        <v>141</v>
      </c>
      <c r="B25" s="6" t="s">
        <v>128</v>
      </c>
      <c r="C25" s="6" t="s">
        <v>142</v>
      </c>
      <c r="D25" s="6" t="s">
        <v>143</v>
      </c>
      <c r="E25" s="6" t="s">
        <v>144</v>
      </c>
      <c r="F25" s="6" t="s">
        <v>145</v>
      </c>
      <c r="G25" s="6" t="s">
        <v>69</v>
      </c>
      <c r="H25" s="5" t="s">
        <v>2</v>
      </c>
      <c r="I25" s="6" t="s">
        <v>26</v>
      </c>
      <c r="J25" s="6" t="s">
        <v>27</v>
      </c>
    </row>
    <row r="26" customFormat="false" ht="23.85" hidden="false" customHeight="false" outlineLevel="0" collapsed="false">
      <c r="A26" s="4" t="s">
        <v>146</v>
      </c>
      <c r="B26" s="4" t="s">
        <v>128</v>
      </c>
      <c r="C26" s="4" t="s">
        <v>147</v>
      </c>
      <c r="D26" s="4" t="s">
        <v>148</v>
      </c>
      <c r="E26" s="4" t="s">
        <v>149</v>
      </c>
      <c r="F26" s="4" t="s">
        <v>150</v>
      </c>
      <c r="G26" s="4" t="s">
        <v>69</v>
      </c>
      <c r="H26" s="7" t="s">
        <v>3</v>
      </c>
      <c r="I26" s="4" t="s">
        <v>26</v>
      </c>
      <c r="J26" s="4" t="s">
        <v>27</v>
      </c>
    </row>
    <row r="27" customFormat="false" ht="23.85" hidden="false" customHeight="false" outlineLevel="0" collapsed="false">
      <c r="A27" s="6" t="s">
        <v>151</v>
      </c>
      <c r="B27" s="6" t="s">
        <v>152</v>
      </c>
      <c r="C27" s="6" t="s">
        <v>153</v>
      </c>
      <c r="D27" s="6" t="s">
        <v>154</v>
      </c>
      <c r="E27" s="6" t="s">
        <v>155</v>
      </c>
      <c r="F27" s="6" t="s">
        <v>156</v>
      </c>
      <c r="G27" s="6" t="s">
        <v>25</v>
      </c>
      <c r="H27" s="5" t="s">
        <v>2</v>
      </c>
      <c r="I27" s="6" t="s">
        <v>26</v>
      </c>
      <c r="J27" s="6" t="s">
        <v>27</v>
      </c>
    </row>
    <row r="28" customFormat="false" ht="23.85" hidden="false" customHeight="false" outlineLevel="0" collapsed="false">
      <c r="A28" s="4" t="s">
        <v>157</v>
      </c>
      <c r="B28" s="4" t="s">
        <v>152</v>
      </c>
      <c r="C28" s="4" t="s">
        <v>158</v>
      </c>
      <c r="D28" s="4" t="s">
        <v>159</v>
      </c>
      <c r="E28" s="4" t="s">
        <v>160</v>
      </c>
      <c r="F28" s="4" t="s">
        <v>161</v>
      </c>
      <c r="G28" s="4" t="s">
        <v>25</v>
      </c>
      <c r="H28" s="5" t="s">
        <v>2</v>
      </c>
      <c r="I28" s="4" t="s">
        <v>26</v>
      </c>
      <c r="J28" s="4" t="s">
        <v>27</v>
      </c>
    </row>
    <row r="29" customFormat="false" ht="23.85" hidden="false" customHeight="false" outlineLevel="0" collapsed="false">
      <c r="A29" s="6" t="s">
        <v>162</v>
      </c>
      <c r="B29" s="6" t="s">
        <v>152</v>
      </c>
      <c r="C29" s="6" t="s">
        <v>163</v>
      </c>
      <c r="D29" s="6" t="s">
        <v>164</v>
      </c>
      <c r="E29" s="6" t="s">
        <v>165</v>
      </c>
      <c r="F29" s="6" t="s">
        <v>166</v>
      </c>
      <c r="G29" s="6" t="s">
        <v>25</v>
      </c>
      <c r="H29" s="7" t="s">
        <v>3</v>
      </c>
      <c r="I29" s="6" t="s">
        <v>26</v>
      </c>
      <c r="J29" s="6" t="s">
        <v>27</v>
      </c>
    </row>
    <row r="30" customFormat="false" ht="15" hidden="false" customHeight="false" outlineLevel="0" collapsed="false">
      <c r="A30" s="4" t="s">
        <v>167</v>
      </c>
      <c r="B30" s="4" t="s">
        <v>168</v>
      </c>
      <c r="C30" s="4" t="s">
        <v>169</v>
      </c>
      <c r="D30" s="4" t="s">
        <v>170</v>
      </c>
      <c r="E30" s="4" t="s">
        <v>171</v>
      </c>
      <c r="F30" s="4" t="s">
        <v>172</v>
      </c>
      <c r="G30" s="4" t="s">
        <v>25</v>
      </c>
      <c r="H30" s="5" t="s">
        <v>2</v>
      </c>
      <c r="I30" s="4" t="s">
        <v>26</v>
      </c>
      <c r="J30" s="4" t="s">
        <v>27</v>
      </c>
    </row>
    <row r="31" customFormat="false" ht="15" hidden="false" customHeight="false" outlineLevel="0" collapsed="false">
      <c r="A31" s="6" t="s">
        <v>173</v>
      </c>
      <c r="B31" s="6" t="s">
        <v>168</v>
      </c>
      <c r="C31" s="6" t="s">
        <v>174</v>
      </c>
      <c r="D31" s="6" t="s">
        <v>175</v>
      </c>
      <c r="E31" s="6" t="s">
        <v>176</v>
      </c>
      <c r="F31" s="6" t="s">
        <v>177</v>
      </c>
      <c r="G31" s="6" t="s">
        <v>25</v>
      </c>
      <c r="H31" s="5" t="s">
        <v>2</v>
      </c>
      <c r="I31" s="6" t="s">
        <v>26</v>
      </c>
      <c r="J31" s="6" t="s">
        <v>27</v>
      </c>
    </row>
    <row r="32" customFormat="false" ht="23.85" hidden="false" customHeight="false" outlineLevel="0" collapsed="false">
      <c r="A32" s="4" t="s">
        <v>178</v>
      </c>
      <c r="B32" s="4" t="s">
        <v>168</v>
      </c>
      <c r="C32" s="4" t="s">
        <v>179</v>
      </c>
      <c r="D32" s="4" t="s">
        <v>180</v>
      </c>
      <c r="E32" s="4" t="s">
        <v>181</v>
      </c>
      <c r="F32" s="4" t="s">
        <v>182</v>
      </c>
      <c r="G32" s="4" t="s">
        <v>25</v>
      </c>
      <c r="H32" s="7" t="s">
        <v>3</v>
      </c>
      <c r="I32" s="4" t="s">
        <v>26</v>
      </c>
      <c r="J32" s="4" t="s">
        <v>27</v>
      </c>
    </row>
    <row r="33" customFormat="false" ht="15" hidden="false" customHeight="false" outlineLevel="0" collapsed="false">
      <c r="A33" s="6" t="s">
        <v>183</v>
      </c>
      <c r="B33" s="6" t="s">
        <v>168</v>
      </c>
      <c r="C33" s="6" t="s">
        <v>184</v>
      </c>
      <c r="D33" s="6" t="s">
        <v>185</v>
      </c>
      <c r="E33" s="6" t="s">
        <v>186</v>
      </c>
      <c r="F33" s="6" t="s">
        <v>187</v>
      </c>
      <c r="G33" s="6" t="s">
        <v>25</v>
      </c>
      <c r="H33" s="7" t="s">
        <v>3</v>
      </c>
      <c r="I33" s="6" t="s">
        <v>26</v>
      </c>
      <c r="J33" s="6" t="s">
        <v>27</v>
      </c>
    </row>
    <row r="34" customFormat="false" ht="23.85" hidden="false" customHeight="false" outlineLevel="0" collapsed="false">
      <c r="A34" s="4" t="s">
        <v>188</v>
      </c>
      <c r="B34" s="4" t="s">
        <v>168</v>
      </c>
      <c r="C34" s="4" t="s">
        <v>189</v>
      </c>
      <c r="D34" s="4" t="s">
        <v>190</v>
      </c>
      <c r="E34" s="4" t="s">
        <v>191</v>
      </c>
      <c r="F34" s="4" t="s">
        <v>192</v>
      </c>
      <c r="G34" s="4" t="s">
        <v>69</v>
      </c>
      <c r="H34" s="5" t="s">
        <v>2</v>
      </c>
      <c r="I34" s="4" t="s">
        <v>26</v>
      </c>
      <c r="J34" s="4" t="s">
        <v>27</v>
      </c>
    </row>
    <row r="35" customFormat="false" ht="23.85" hidden="false" customHeight="false" outlineLevel="0" collapsed="false">
      <c r="A35" s="6" t="s">
        <v>193</v>
      </c>
      <c r="B35" s="6" t="s">
        <v>194</v>
      </c>
      <c r="C35" s="6" t="s">
        <v>195</v>
      </c>
      <c r="D35" s="6" t="s">
        <v>196</v>
      </c>
      <c r="E35" s="6" t="s">
        <v>197</v>
      </c>
      <c r="F35" s="6" t="s">
        <v>198</v>
      </c>
      <c r="G35" s="6" t="s">
        <v>25</v>
      </c>
      <c r="H35" s="5" t="s">
        <v>2</v>
      </c>
      <c r="I35" s="6" t="s">
        <v>26</v>
      </c>
      <c r="J35" s="6" t="s">
        <v>27</v>
      </c>
    </row>
    <row r="36" customFormat="false" ht="15" hidden="false" customHeight="false" outlineLevel="0" collapsed="false">
      <c r="A36" s="4" t="s">
        <v>199</v>
      </c>
      <c r="B36" s="4" t="s">
        <v>194</v>
      </c>
      <c r="C36" s="4" t="s">
        <v>200</v>
      </c>
      <c r="D36" s="4" t="s">
        <v>201</v>
      </c>
      <c r="E36" s="4" t="s">
        <v>202</v>
      </c>
      <c r="F36" s="4" t="s">
        <v>203</v>
      </c>
      <c r="G36" s="4" t="s">
        <v>25</v>
      </c>
      <c r="H36" s="5" t="s">
        <v>2</v>
      </c>
      <c r="I36" s="4" t="s">
        <v>26</v>
      </c>
      <c r="J36" s="4" t="s">
        <v>27</v>
      </c>
    </row>
    <row r="37" customFormat="false" ht="15" hidden="false" customHeight="false" outlineLevel="0" collapsed="false">
      <c r="A37" s="6" t="s">
        <v>204</v>
      </c>
      <c r="B37" s="6" t="s">
        <v>194</v>
      </c>
      <c r="C37" s="6" t="s">
        <v>205</v>
      </c>
      <c r="D37" s="6" t="s">
        <v>206</v>
      </c>
      <c r="E37" s="6" t="s">
        <v>207</v>
      </c>
      <c r="F37" s="6" t="s">
        <v>208</v>
      </c>
      <c r="G37" s="6" t="s">
        <v>25</v>
      </c>
      <c r="H37" s="7" t="s">
        <v>3</v>
      </c>
      <c r="I37" s="6" t="s">
        <v>26</v>
      </c>
      <c r="J37" s="6" t="s">
        <v>27</v>
      </c>
    </row>
    <row r="38" customFormat="false" ht="23.85" hidden="false" customHeight="false" outlineLevel="0" collapsed="false">
      <c r="A38" s="4" t="s">
        <v>209</v>
      </c>
      <c r="B38" s="4" t="s">
        <v>210</v>
      </c>
      <c r="C38" s="4" t="s">
        <v>211</v>
      </c>
      <c r="D38" s="4" t="s">
        <v>212</v>
      </c>
      <c r="E38" s="4" t="s">
        <v>213</v>
      </c>
      <c r="F38" s="4" t="s">
        <v>214</v>
      </c>
      <c r="G38" s="4" t="s">
        <v>25</v>
      </c>
      <c r="H38" s="5" t="s">
        <v>2</v>
      </c>
      <c r="I38" s="4" t="s">
        <v>26</v>
      </c>
      <c r="J38" s="4" t="s">
        <v>27</v>
      </c>
    </row>
    <row r="39" customFormat="false" ht="15" hidden="false" customHeight="false" outlineLevel="0" collapsed="false">
      <c r="A39" s="6" t="s">
        <v>215</v>
      </c>
      <c r="B39" s="6" t="s">
        <v>210</v>
      </c>
      <c r="C39" s="6" t="s">
        <v>216</v>
      </c>
      <c r="D39" s="6" t="s">
        <v>212</v>
      </c>
      <c r="E39" s="6" t="s">
        <v>217</v>
      </c>
      <c r="F39" s="6" t="s">
        <v>218</v>
      </c>
      <c r="G39" s="6" t="s">
        <v>33</v>
      </c>
      <c r="H39" s="7" t="s">
        <v>3</v>
      </c>
      <c r="I39" s="6" t="s">
        <v>26</v>
      </c>
      <c r="J39" s="6" t="s">
        <v>27</v>
      </c>
    </row>
    <row r="40" customFormat="false" ht="15" hidden="false" customHeight="false" outlineLevel="0" collapsed="false">
      <c r="A40" s="4" t="s">
        <v>219</v>
      </c>
      <c r="B40" s="4" t="s">
        <v>210</v>
      </c>
      <c r="C40" s="4" t="s">
        <v>220</v>
      </c>
      <c r="D40" s="4" t="s">
        <v>221</v>
      </c>
      <c r="E40" s="4" t="s">
        <v>222</v>
      </c>
      <c r="F40" s="4" t="s">
        <v>223</v>
      </c>
      <c r="G40" s="4" t="s">
        <v>33</v>
      </c>
      <c r="H40" s="5" t="s">
        <v>2</v>
      </c>
      <c r="I40" s="4" t="s">
        <v>26</v>
      </c>
      <c r="J40" s="4" t="s">
        <v>27</v>
      </c>
    </row>
    <row r="41" customFormat="false" ht="15" hidden="false" customHeight="false" outlineLevel="0" collapsed="false">
      <c r="A41" s="6" t="s">
        <v>224</v>
      </c>
      <c r="B41" s="6" t="s">
        <v>225</v>
      </c>
      <c r="C41" s="6" t="s">
        <v>226</v>
      </c>
      <c r="D41" s="6" t="s">
        <v>227</v>
      </c>
      <c r="E41" s="6" t="s">
        <v>228</v>
      </c>
      <c r="F41" s="6" t="s">
        <v>229</v>
      </c>
      <c r="G41" s="6" t="s">
        <v>230</v>
      </c>
      <c r="H41" s="5" t="s">
        <v>2</v>
      </c>
      <c r="I41" s="6" t="s">
        <v>26</v>
      </c>
      <c r="J41" s="6" t="s">
        <v>27</v>
      </c>
    </row>
    <row r="42" customFormat="false" ht="23.85" hidden="false" customHeight="false" outlineLevel="0" collapsed="false">
      <c r="A42" s="4" t="s">
        <v>231</v>
      </c>
      <c r="B42" s="4" t="s">
        <v>225</v>
      </c>
      <c r="C42" s="4" t="s">
        <v>232</v>
      </c>
      <c r="D42" s="4" t="s">
        <v>227</v>
      </c>
      <c r="E42" s="4" t="s">
        <v>228</v>
      </c>
      <c r="F42" s="4" t="s">
        <v>233</v>
      </c>
      <c r="G42" s="4" t="s">
        <v>230</v>
      </c>
      <c r="H42" s="5" t="s">
        <v>2</v>
      </c>
      <c r="I42" s="4" t="s">
        <v>26</v>
      </c>
      <c r="J42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6" min="5" style="0" width="50"/>
    <col collapsed="false" customWidth="true" hidden="false" outlineLevel="0" max="7" min="7" style="0" width="12"/>
    <col collapsed="false" customWidth="true" hidden="false" outlineLevel="0" max="10" min="8" style="0" width="10"/>
  </cols>
  <sheetData>
    <row r="1" customFormat="false" ht="25.5" hidden="false" customHeight="true" outlineLevel="0" collapsed="false">
      <c r="A1" s="3" t="s">
        <v>10</v>
      </c>
      <c r="B1" s="3" t="s">
        <v>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customFormat="false" ht="23.85" hidden="false" customHeight="false" outlineLevel="0" collapsed="false">
      <c r="A2" s="4" t="s">
        <v>234</v>
      </c>
      <c r="B2" s="4" t="s">
        <v>235</v>
      </c>
      <c r="C2" s="4" t="s">
        <v>236</v>
      </c>
      <c r="D2" s="4" t="s">
        <v>237</v>
      </c>
      <c r="E2" s="4" t="s">
        <v>238</v>
      </c>
      <c r="F2" s="4" t="s">
        <v>239</v>
      </c>
      <c r="G2" s="4" t="s">
        <v>25</v>
      </c>
      <c r="H2" s="5" t="s">
        <v>2</v>
      </c>
      <c r="I2" s="4" t="s">
        <v>240</v>
      </c>
      <c r="J2" s="4" t="s">
        <v>27</v>
      </c>
    </row>
    <row r="3" customFormat="false" ht="15" hidden="false" customHeight="false" outlineLevel="0" collapsed="false">
      <c r="A3" s="6" t="s">
        <v>241</v>
      </c>
      <c r="B3" s="6" t="s">
        <v>235</v>
      </c>
      <c r="C3" s="6" t="s">
        <v>242</v>
      </c>
      <c r="D3" s="6" t="s">
        <v>243</v>
      </c>
      <c r="E3" s="6" t="s">
        <v>244</v>
      </c>
      <c r="F3" s="6" t="s">
        <v>245</v>
      </c>
      <c r="G3" s="6" t="s">
        <v>80</v>
      </c>
      <c r="H3" s="5" t="s">
        <v>2</v>
      </c>
      <c r="I3" s="6" t="s">
        <v>240</v>
      </c>
      <c r="J3" s="6" t="s">
        <v>27</v>
      </c>
    </row>
    <row r="4" customFormat="false" ht="15" hidden="false" customHeight="false" outlineLevel="0" collapsed="false">
      <c r="A4" s="4" t="s">
        <v>246</v>
      </c>
      <c r="B4" s="4" t="s">
        <v>235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</v>
      </c>
      <c r="H4" s="5" t="s">
        <v>2</v>
      </c>
      <c r="I4" s="4" t="s">
        <v>240</v>
      </c>
      <c r="J4" s="4" t="s">
        <v>27</v>
      </c>
    </row>
    <row r="5" customFormat="false" ht="15" hidden="false" customHeight="false" outlineLevel="0" collapsed="false">
      <c r="A5" s="6" t="s">
        <v>251</v>
      </c>
      <c r="B5" s="6" t="s">
        <v>235</v>
      </c>
      <c r="C5" s="6" t="s">
        <v>252</v>
      </c>
      <c r="D5" s="6" t="s">
        <v>253</v>
      </c>
      <c r="E5" s="6" t="s">
        <v>254</v>
      </c>
      <c r="F5" s="6" t="s">
        <v>255</v>
      </c>
      <c r="G5" s="6" t="s">
        <v>25</v>
      </c>
      <c r="H5" s="5" t="s">
        <v>2</v>
      </c>
      <c r="I5" s="6" t="s">
        <v>240</v>
      </c>
      <c r="J5" s="6" t="s">
        <v>27</v>
      </c>
    </row>
    <row r="6" customFormat="false" ht="15" hidden="false" customHeight="false" outlineLevel="0" collapsed="false">
      <c r="A6" s="4" t="s">
        <v>256</v>
      </c>
      <c r="B6" s="4" t="s">
        <v>235</v>
      </c>
      <c r="C6" s="4" t="s">
        <v>257</v>
      </c>
      <c r="D6" s="4" t="s">
        <v>258</v>
      </c>
      <c r="E6" s="4" t="s">
        <v>259</v>
      </c>
      <c r="F6" s="4" t="s">
        <v>260</v>
      </c>
      <c r="G6" s="4" t="s">
        <v>25</v>
      </c>
      <c r="H6" s="7" t="s">
        <v>3</v>
      </c>
      <c r="I6" s="4" t="s">
        <v>240</v>
      </c>
      <c r="J6" s="4" t="s">
        <v>27</v>
      </c>
    </row>
    <row r="7" customFormat="false" ht="15" hidden="false" customHeight="false" outlineLevel="0" collapsed="false">
      <c r="A7" s="6" t="s">
        <v>261</v>
      </c>
      <c r="B7" s="6" t="s">
        <v>235</v>
      </c>
      <c r="C7" s="6" t="s">
        <v>262</v>
      </c>
      <c r="D7" s="6" t="s">
        <v>119</v>
      </c>
      <c r="E7" s="6" t="s">
        <v>263</v>
      </c>
      <c r="F7" s="6" t="s">
        <v>264</v>
      </c>
      <c r="G7" s="6" t="s">
        <v>25</v>
      </c>
      <c r="H7" s="7" t="s">
        <v>3</v>
      </c>
      <c r="I7" s="6" t="s">
        <v>240</v>
      </c>
      <c r="J7" s="6" t="s">
        <v>27</v>
      </c>
    </row>
    <row r="8" customFormat="false" ht="15" hidden="false" customHeight="false" outlineLevel="0" collapsed="false">
      <c r="A8" s="4" t="s">
        <v>265</v>
      </c>
      <c r="B8" s="4" t="s">
        <v>235</v>
      </c>
      <c r="C8" s="4" t="s">
        <v>266</v>
      </c>
      <c r="D8" s="4" t="s">
        <v>267</v>
      </c>
      <c r="E8" s="4" t="s">
        <v>268</v>
      </c>
      <c r="F8" s="4" t="s">
        <v>269</v>
      </c>
      <c r="G8" s="4" t="s">
        <v>25</v>
      </c>
      <c r="H8" s="7" t="s">
        <v>3</v>
      </c>
      <c r="I8" s="4" t="s">
        <v>240</v>
      </c>
      <c r="J8" s="4" t="s">
        <v>27</v>
      </c>
    </row>
    <row r="9" customFormat="false" ht="15" hidden="false" customHeight="false" outlineLevel="0" collapsed="false">
      <c r="A9" s="6" t="s">
        <v>270</v>
      </c>
      <c r="B9" s="6" t="s">
        <v>271</v>
      </c>
      <c r="C9" s="6" t="s">
        <v>272</v>
      </c>
      <c r="D9" s="6" t="s">
        <v>212</v>
      </c>
      <c r="E9" s="6" t="s">
        <v>273</v>
      </c>
      <c r="F9" s="6" t="s">
        <v>274</v>
      </c>
      <c r="G9" s="6" t="s">
        <v>25</v>
      </c>
      <c r="H9" s="5" t="s">
        <v>2</v>
      </c>
      <c r="I9" s="6" t="s">
        <v>240</v>
      </c>
      <c r="J9" s="6" t="s">
        <v>27</v>
      </c>
    </row>
    <row r="10" customFormat="false" ht="15" hidden="false" customHeight="false" outlineLevel="0" collapsed="false">
      <c r="A10" s="4" t="s">
        <v>275</v>
      </c>
      <c r="B10" s="4" t="s">
        <v>271</v>
      </c>
      <c r="C10" s="4" t="s">
        <v>276</v>
      </c>
      <c r="D10" s="4" t="s">
        <v>277</v>
      </c>
      <c r="E10" s="4" t="s">
        <v>278</v>
      </c>
      <c r="F10" s="4" t="s">
        <v>279</v>
      </c>
      <c r="G10" s="4" t="s">
        <v>25</v>
      </c>
      <c r="H10" s="7" t="s">
        <v>3</v>
      </c>
      <c r="I10" s="4" t="s">
        <v>240</v>
      </c>
      <c r="J10" s="4" t="s">
        <v>27</v>
      </c>
    </row>
    <row r="11" customFormat="false" ht="15" hidden="false" customHeight="false" outlineLevel="0" collapsed="false">
      <c r="A11" s="6" t="s">
        <v>280</v>
      </c>
      <c r="B11" s="6" t="s">
        <v>271</v>
      </c>
      <c r="C11" s="6" t="s">
        <v>281</v>
      </c>
      <c r="D11" s="6" t="s">
        <v>282</v>
      </c>
      <c r="E11" s="6" t="s">
        <v>283</v>
      </c>
      <c r="F11" s="6" t="s">
        <v>284</v>
      </c>
      <c r="G11" s="6" t="s">
        <v>25</v>
      </c>
      <c r="H11" s="5" t="s">
        <v>2</v>
      </c>
      <c r="I11" s="6" t="s">
        <v>240</v>
      </c>
      <c r="J11" s="6" t="s">
        <v>27</v>
      </c>
    </row>
    <row r="12" customFormat="false" ht="15" hidden="false" customHeight="false" outlineLevel="0" collapsed="false">
      <c r="A12" s="4" t="s">
        <v>285</v>
      </c>
      <c r="B12" s="4" t="s">
        <v>271</v>
      </c>
      <c r="C12" s="4" t="s">
        <v>286</v>
      </c>
      <c r="D12" s="4" t="s">
        <v>287</v>
      </c>
      <c r="E12" s="4" t="s">
        <v>288</v>
      </c>
      <c r="F12" s="4" t="s">
        <v>289</v>
      </c>
      <c r="G12" s="4" t="s">
        <v>33</v>
      </c>
      <c r="H12" s="7" t="s">
        <v>3</v>
      </c>
      <c r="I12" s="4" t="s">
        <v>240</v>
      </c>
      <c r="J12" s="4" t="s">
        <v>27</v>
      </c>
    </row>
    <row r="13" customFormat="false" ht="23.85" hidden="false" customHeight="false" outlineLevel="0" collapsed="false">
      <c r="A13" s="6" t="s">
        <v>290</v>
      </c>
      <c r="B13" s="6" t="s">
        <v>291</v>
      </c>
      <c r="C13" s="6" t="s">
        <v>292</v>
      </c>
      <c r="D13" s="6" t="s">
        <v>77</v>
      </c>
      <c r="E13" s="6" t="s">
        <v>293</v>
      </c>
      <c r="F13" s="6" t="s">
        <v>294</v>
      </c>
      <c r="G13" s="6" t="s">
        <v>25</v>
      </c>
      <c r="H13" s="5" t="s">
        <v>2</v>
      </c>
      <c r="I13" s="6" t="s">
        <v>240</v>
      </c>
      <c r="J13" s="6" t="s">
        <v>27</v>
      </c>
    </row>
    <row r="14" customFormat="false" ht="15" hidden="false" customHeight="false" outlineLevel="0" collapsed="false">
      <c r="A14" s="4" t="s">
        <v>295</v>
      </c>
      <c r="B14" s="4" t="s">
        <v>291</v>
      </c>
      <c r="C14" s="4" t="s">
        <v>296</v>
      </c>
      <c r="D14" s="4" t="s">
        <v>119</v>
      </c>
      <c r="E14" s="4" t="s">
        <v>297</v>
      </c>
      <c r="F14" s="4" t="s">
        <v>136</v>
      </c>
      <c r="G14" s="4" t="s">
        <v>33</v>
      </c>
      <c r="H14" s="7" t="s">
        <v>3</v>
      </c>
      <c r="I14" s="4" t="s">
        <v>240</v>
      </c>
      <c r="J14" s="4" t="s">
        <v>27</v>
      </c>
    </row>
    <row r="15" customFormat="false" ht="23.85" hidden="false" customHeight="false" outlineLevel="0" collapsed="false">
      <c r="A15" s="6" t="s">
        <v>298</v>
      </c>
      <c r="B15" s="6" t="s">
        <v>299</v>
      </c>
      <c r="C15" s="6" t="s">
        <v>300</v>
      </c>
      <c r="D15" s="6" t="s">
        <v>89</v>
      </c>
      <c r="E15" s="6" t="s">
        <v>301</v>
      </c>
      <c r="F15" s="6" t="s">
        <v>302</v>
      </c>
      <c r="G15" s="6" t="s">
        <v>25</v>
      </c>
      <c r="H15" s="5" t="s">
        <v>2</v>
      </c>
      <c r="I15" s="6" t="s">
        <v>240</v>
      </c>
      <c r="J15" s="6" t="s">
        <v>27</v>
      </c>
    </row>
    <row r="16" customFormat="false" ht="15" hidden="false" customHeight="false" outlineLevel="0" collapsed="false">
      <c r="A16" s="4" t="s">
        <v>303</v>
      </c>
      <c r="B16" s="4" t="s">
        <v>299</v>
      </c>
      <c r="C16" s="4" t="s">
        <v>304</v>
      </c>
      <c r="D16" s="4" t="s">
        <v>305</v>
      </c>
      <c r="E16" s="4" t="s">
        <v>306</v>
      </c>
      <c r="F16" s="4" t="s">
        <v>307</v>
      </c>
      <c r="G16" s="4" t="s">
        <v>25</v>
      </c>
      <c r="H16" s="5" t="s">
        <v>2</v>
      </c>
      <c r="I16" s="4" t="s">
        <v>240</v>
      </c>
      <c r="J16" s="4" t="s">
        <v>27</v>
      </c>
    </row>
    <row r="17" customFormat="false" ht="15" hidden="false" customHeight="false" outlineLevel="0" collapsed="false">
      <c r="A17" s="6" t="s">
        <v>308</v>
      </c>
      <c r="B17" s="6" t="s">
        <v>299</v>
      </c>
      <c r="C17" s="6" t="s">
        <v>309</v>
      </c>
      <c r="D17" s="6" t="s">
        <v>310</v>
      </c>
      <c r="E17" s="6" t="s">
        <v>311</v>
      </c>
      <c r="F17" s="6" t="s">
        <v>312</v>
      </c>
      <c r="G17" s="6" t="s">
        <v>33</v>
      </c>
      <c r="H17" s="7" t="s">
        <v>3</v>
      </c>
      <c r="I17" s="6" t="s">
        <v>240</v>
      </c>
      <c r="J17" s="6" t="s">
        <v>27</v>
      </c>
    </row>
    <row r="18" customFormat="false" ht="23.85" hidden="false" customHeight="false" outlineLevel="0" collapsed="false">
      <c r="A18" s="4" t="s">
        <v>313</v>
      </c>
      <c r="B18" s="4" t="s">
        <v>314</v>
      </c>
      <c r="C18" s="4" t="s">
        <v>315</v>
      </c>
      <c r="D18" s="4" t="s">
        <v>316</v>
      </c>
      <c r="E18" s="4" t="s">
        <v>317</v>
      </c>
      <c r="F18" s="4" t="s">
        <v>318</v>
      </c>
      <c r="G18" s="4" t="s">
        <v>25</v>
      </c>
      <c r="H18" s="7" t="s">
        <v>3</v>
      </c>
      <c r="I18" s="4" t="s">
        <v>240</v>
      </c>
      <c r="J18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6" min="5" style="0" width="50"/>
    <col collapsed="false" customWidth="true" hidden="false" outlineLevel="0" max="7" min="7" style="0" width="12"/>
    <col collapsed="false" customWidth="true" hidden="false" outlineLevel="0" max="10" min="8" style="0" width="10"/>
  </cols>
  <sheetData>
    <row r="1" customFormat="false" ht="25.5" hidden="false" customHeight="true" outlineLevel="0" collapsed="false">
      <c r="A1" s="3" t="s">
        <v>10</v>
      </c>
      <c r="B1" s="3" t="s">
        <v>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customFormat="false" ht="23.85" hidden="false" customHeight="false" outlineLevel="0" collapsed="false">
      <c r="A2" s="4" t="s">
        <v>319</v>
      </c>
      <c r="B2" s="4" t="s">
        <v>320</v>
      </c>
      <c r="C2" s="4" t="s">
        <v>321</v>
      </c>
      <c r="D2" s="4" t="s">
        <v>89</v>
      </c>
      <c r="E2" s="4" t="s">
        <v>322</v>
      </c>
      <c r="F2" s="4" t="s">
        <v>323</v>
      </c>
      <c r="G2" s="4" t="s">
        <v>25</v>
      </c>
      <c r="H2" s="5" t="s">
        <v>2</v>
      </c>
      <c r="I2" s="4" t="s">
        <v>324</v>
      </c>
      <c r="J2" s="4" t="s">
        <v>27</v>
      </c>
    </row>
    <row r="3" customFormat="false" ht="15" hidden="false" customHeight="false" outlineLevel="0" collapsed="false">
      <c r="A3" s="6" t="s">
        <v>325</v>
      </c>
      <c r="B3" s="6" t="s">
        <v>320</v>
      </c>
      <c r="C3" s="6" t="s">
        <v>326</v>
      </c>
      <c r="D3" s="6" t="s">
        <v>327</v>
      </c>
      <c r="E3" s="6" t="s">
        <v>328</v>
      </c>
      <c r="F3" s="6" t="s">
        <v>329</v>
      </c>
      <c r="G3" s="6" t="s">
        <v>33</v>
      </c>
      <c r="H3" s="5" t="s">
        <v>2</v>
      </c>
      <c r="I3" s="6" t="s">
        <v>324</v>
      </c>
      <c r="J3" s="6" t="s">
        <v>27</v>
      </c>
    </row>
    <row r="4" customFormat="false" ht="23.85" hidden="false" customHeight="false" outlineLevel="0" collapsed="false">
      <c r="A4" s="4" t="s">
        <v>330</v>
      </c>
      <c r="B4" s="4" t="s">
        <v>320</v>
      </c>
      <c r="C4" s="4" t="s">
        <v>331</v>
      </c>
      <c r="D4" s="4" t="s">
        <v>332</v>
      </c>
      <c r="E4" s="4" t="s">
        <v>333</v>
      </c>
      <c r="F4" s="4" t="s">
        <v>334</v>
      </c>
      <c r="G4" s="4" t="s">
        <v>25</v>
      </c>
      <c r="H4" s="5" t="s">
        <v>2</v>
      </c>
      <c r="I4" s="4" t="s">
        <v>324</v>
      </c>
      <c r="J4" s="4" t="s">
        <v>27</v>
      </c>
    </row>
    <row r="5" customFormat="false" ht="23.85" hidden="false" customHeight="false" outlineLevel="0" collapsed="false">
      <c r="A5" s="6" t="s">
        <v>335</v>
      </c>
      <c r="B5" s="6" t="s">
        <v>320</v>
      </c>
      <c r="C5" s="6" t="s">
        <v>336</v>
      </c>
      <c r="D5" s="6" t="s">
        <v>337</v>
      </c>
      <c r="E5" s="6" t="s">
        <v>338</v>
      </c>
      <c r="F5" s="6" t="s">
        <v>339</v>
      </c>
      <c r="G5" s="6" t="s">
        <v>33</v>
      </c>
      <c r="H5" s="5" t="s">
        <v>2</v>
      </c>
      <c r="I5" s="6" t="s">
        <v>324</v>
      </c>
      <c r="J5" s="6" t="s">
        <v>27</v>
      </c>
    </row>
    <row r="6" customFormat="false" ht="15" hidden="false" customHeight="false" outlineLevel="0" collapsed="false">
      <c r="A6" s="4" t="s">
        <v>340</v>
      </c>
      <c r="B6" s="4" t="s">
        <v>320</v>
      </c>
      <c r="C6" s="4" t="s">
        <v>341</v>
      </c>
      <c r="D6" s="4" t="s">
        <v>342</v>
      </c>
      <c r="E6" s="4" t="s">
        <v>338</v>
      </c>
      <c r="F6" s="4" t="s">
        <v>343</v>
      </c>
      <c r="G6" s="4" t="s">
        <v>25</v>
      </c>
      <c r="H6" s="5" t="s">
        <v>2</v>
      </c>
      <c r="I6" s="4" t="s">
        <v>324</v>
      </c>
      <c r="J6" s="4" t="s">
        <v>27</v>
      </c>
    </row>
    <row r="7" customFormat="false" ht="23.85" hidden="false" customHeight="false" outlineLevel="0" collapsed="false">
      <c r="A7" s="6" t="s">
        <v>344</v>
      </c>
      <c r="B7" s="6" t="s">
        <v>320</v>
      </c>
      <c r="C7" s="6" t="s">
        <v>345</v>
      </c>
      <c r="D7" s="6" t="s">
        <v>346</v>
      </c>
      <c r="E7" s="6" t="s">
        <v>347</v>
      </c>
      <c r="F7" s="6" t="s">
        <v>348</v>
      </c>
      <c r="G7" s="6" t="s">
        <v>25</v>
      </c>
      <c r="H7" s="5" t="s">
        <v>2</v>
      </c>
      <c r="I7" s="6" t="s">
        <v>324</v>
      </c>
      <c r="J7" s="6" t="s">
        <v>27</v>
      </c>
    </row>
    <row r="8" customFormat="false" ht="23.85" hidden="false" customHeight="false" outlineLevel="0" collapsed="false">
      <c r="A8" s="4" t="s">
        <v>349</v>
      </c>
      <c r="B8" s="4" t="s">
        <v>320</v>
      </c>
      <c r="C8" s="4" t="s">
        <v>350</v>
      </c>
      <c r="D8" s="4" t="s">
        <v>351</v>
      </c>
      <c r="E8" s="4" t="s">
        <v>352</v>
      </c>
      <c r="F8" s="4" t="s">
        <v>353</v>
      </c>
      <c r="G8" s="4" t="s">
        <v>25</v>
      </c>
      <c r="H8" s="5" t="s">
        <v>2</v>
      </c>
      <c r="I8" s="4" t="s">
        <v>324</v>
      </c>
      <c r="J8" s="4" t="s">
        <v>27</v>
      </c>
    </row>
    <row r="9" customFormat="false" ht="35.05" hidden="false" customHeight="false" outlineLevel="0" collapsed="false">
      <c r="A9" s="6" t="s">
        <v>354</v>
      </c>
      <c r="B9" s="6" t="s">
        <v>320</v>
      </c>
      <c r="C9" s="6" t="s">
        <v>355</v>
      </c>
      <c r="D9" s="6" t="s">
        <v>356</v>
      </c>
      <c r="E9" s="6" t="s">
        <v>357</v>
      </c>
      <c r="F9" s="6" t="s">
        <v>358</v>
      </c>
      <c r="G9" s="6" t="s">
        <v>25</v>
      </c>
      <c r="H9" s="5" t="s">
        <v>2</v>
      </c>
      <c r="I9" s="6" t="s">
        <v>324</v>
      </c>
      <c r="J9" s="6" t="s">
        <v>27</v>
      </c>
    </row>
    <row r="10" customFormat="false" ht="15" hidden="false" customHeight="false" outlineLevel="0" collapsed="false">
      <c r="A10" s="4" t="s">
        <v>359</v>
      </c>
      <c r="B10" s="4" t="s">
        <v>320</v>
      </c>
      <c r="C10" s="4" t="s">
        <v>360</v>
      </c>
      <c r="D10" s="4" t="s">
        <v>361</v>
      </c>
      <c r="E10" s="4" t="s">
        <v>362</v>
      </c>
      <c r="F10" s="4" t="s">
        <v>363</v>
      </c>
      <c r="G10" s="4" t="s">
        <v>33</v>
      </c>
      <c r="H10" s="7" t="s">
        <v>3</v>
      </c>
      <c r="I10" s="4" t="s">
        <v>324</v>
      </c>
      <c r="J10" s="4" t="s">
        <v>27</v>
      </c>
    </row>
    <row r="11" customFormat="false" ht="15" hidden="false" customHeight="false" outlineLevel="0" collapsed="false">
      <c r="A11" s="6" t="s">
        <v>364</v>
      </c>
      <c r="B11" s="6" t="s">
        <v>320</v>
      </c>
      <c r="C11" s="6" t="s">
        <v>365</v>
      </c>
      <c r="D11" s="6" t="s">
        <v>366</v>
      </c>
      <c r="E11" s="6" t="s">
        <v>367</v>
      </c>
      <c r="F11" s="6" t="s">
        <v>368</v>
      </c>
      <c r="G11" s="6" t="s">
        <v>25</v>
      </c>
      <c r="H11" s="7" t="s">
        <v>3</v>
      </c>
      <c r="I11" s="6" t="s">
        <v>324</v>
      </c>
      <c r="J11" s="6" t="s">
        <v>27</v>
      </c>
    </row>
    <row r="12" customFormat="false" ht="23.85" hidden="false" customHeight="false" outlineLevel="0" collapsed="false">
      <c r="A12" s="4" t="s">
        <v>369</v>
      </c>
      <c r="B12" s="4" t="s">
        <v>320</v>
      </c>
      <c r="C12" s="4" t="s">
        <v>370</v>
      </c>
      <c r="D12" s="4" t="s">
        <v>371</v>
      </c>
      <c r="E12" s="4" t="s">
        <v>372</v>
      </c>
      <c r="F12" s="4" t="s">
        <v>373</v>
      </c>
      <c r="G12" s="4" t="s">
        <v>374</v>
      </c>
      <c r="H12" s="5" t="s">
        <v>2</v>
      </c>
      <c r="I12" s="4" t="s">
        <v>324</v>
      </c>
      <c r="J12" s="4" t="s">
        <v>27</v>
      </c>
    </row>
    <row r="13" customFormat="false" ht="23.85" hidden="false" customHeight="false" outlineLevel="0" collapsed="false">
      <c r="A13" s="6" t="s">
        <v>375</v>
      </c>
      <c r="B13" s="6" t="s">
        <v>376</v>
      </c>
      <c r="C13" s="6" t="s">
        <v>377</v>
      </c>
      <c r="D13" s="6" t="s">
        <v>89</v>
      </c>
      <c r="E13" s="6" t="s">
        <v>378</v>
      </c>
      <c r="F13" s="6" t="s">
        <v>353</v>
      </c>
      <c r="G13" s="6" t="s">
        <v>25</v>
      </c>
      <c r="H13" s="5" t="s">
        <v>2</v>
      </c>
      <c r="I13" s="6" t="s">
        <v>324</v>
      </c>
      <c r="J13" s="6" t="s">
        <v>27</v>
      </c>
    </row>
    <row r="14" customFormat="false" ht="15" hidden="false" customHeight="false" outlineLevel="0" collapsed="false">
      <c r="A14" s="4" t="s">
        <v>379</v>
      </c>
      <c r="B14" s="4" t="s">
        <v>376</v>
      </c>
      <c r="C14" s="4" t="s">
        <v>380</v>
      </c>
      <c r="D14" s="4" t="s">
        <v>381</v>
      </c>
      <c r="E14" s="4" t="s">
        <v>382</v>
      </c>
      <c r="F14" s="4" t="s">
        <v>383</v>
      </c>
      <c r="G14" s="4" t="s">
        <v>25</v>
      </c>
      <c r="H14" s="5" t="s">
        <v>2</v>
      </c>
      <c r="I14" s="4" t="s">
        <v>324</v>
      </c>
      <c r="J14" s="4" t="s">
        <v>27</v>
      </c>
    </row>
    <row r="15" customFormat="false" ht="23.85" hidden="false" customHeight="false" outlineLevel="0" collapsed="false">
      <c r="A15" s="6" t="s">
        <v>384</v>
      </c>
      <c r="B15" s="6" t="s">
        <v>385</v>
      </c>
      <c r="C15" s="6" t="s">
        <v>386</v>
      </c>
      <c r="D15" s="6" t="s">
        <v>387</v>
      </c>
      <c r="E15" s="6" t="s">
        <v>388</v>
      </c>
      <c r="F15" s="6" t="s">
        <v>79</v>
      </c>
      <c r="G15" s="6" t="s">
        <v>80</v>
      </c>
      <c r="H15" s="5" t="s">
        <v>2</v>
      </c>
      <c r="I15" s="6" t="s">
        <v>324</v>
      </c>
      <c r="J15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6" min="5" style="0" width="50"/>
    <col collapsed="false" customWidth="true" hidden="false" outlineLevel="0" max="7" min="7" style="0" width="12"/>
    <col collapsed="false" customWidth="true" hidden="false" outlineLevel="0" max="10" min="8" style="0" width="10"/>
  </cols>
  <sheetData>
    <row r="1" customFormat="false" ht="25.5" hidden="false" customHeight="true" outlineLevel="0" collapsed="false">
      <c r="A1" s="3" t="s">
        <v>10</v>
      </c>
      <c r="B1" s="3" t="s">
        <v>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customFormat="false" ht="15" hidden="false" customHeight="false" outlineLevel="0" collapsed="false">
      <c r="A2" s="4" t="s">
        <v>389</v>
      </c>
      <c r="B2" s="4" t="s">
        <v>80</v>
      </c>
      <c r="C2" s="4" t="s">
        <v>390</v>
      </c>
      <c r="D2" s="4" t="s">
        <v>391</v>
      </c>
      <c r="E2" s="4" t="s">
        <v>392</v>
      </c>
      <c r="F2" s="4" t="s">
        <v>393</v>
      </c>
      <c r="G2" s="4" t="s">
        <v>80</v>
      </c>
      <c r="H2" s="5" t="s">
        <v>2</v>
      </c>
      <c r="I2" s="4" t="s">
        <v>394</v>
      </c>
      <c r="J2" s="4" t="s">
        <v>27</v>
      </c>
    </row>
    <row r="3" customFormat="false" ht="15" hidden="false" customHeight="false" outlineLevel="0" collapsed="false">
      <c r="A3" s="6" t="s">
        <v>395</v>
      </c>
      <c r="B3" s="6" t="s">
        <v>80</v>
      </c>
      <c r="C3" s="6" t="s">
        <v>396</v>
      </c>
      <c r="D3" s="6" t="s">
        <v>397</v>
      </c>
      <c r="E3" s="6" t="s">
        <v>398</v>
      </c>
      <c r="F3" s="6" t="s">
        <v>399</v>
      </c>
      <c r="G3" s="6" t="s">
        <v>80</v>
      </c>
      <c r="H3" s="5" t="s">
        <v>2</v>
      </c>
      <c r="I3" s="6" t="s">
        <v>394</v>
      </c>
      <c r="J3" s="6" t="s">
        <v>27</v>
      </c>
    </row>
    <row r="4" customFormat="false" ht="15" hidden="false" customHeight="false" outlineLevel="0" collapsed="false">
      <c r="A4" s="4" t="s">
        <v>400</v>
      </c>
      <c r="B4" s="4" t="s">
        <v>80</v>
      </c>
      <c r="C4" s="4" t="s">
        <v>401</v>
      </c>
      <c r="D4" s="4" t="s">
        <v>119</v>
      </c>
      <c r="E4" s="4" t="s">
        <v>402</v>
      </c>
      <c r="F4" s="4" t="s">
        <v>403</v>
      </c>
      <c r="G4" s="4" t="s">
        <v>80</v>
      </c>
      <c r="H4" s="5" t="s">
        <v>2</v>
      </c>
      <c r="I4" s="4" t="s">
        <v>394</v>
      </c>
      <c r="J4" s="4" t="s">
        <v>27</v>
      </c>
    </row>
    <row r="5" customFormat="false" ht="15" hidden="false" customHeight="false" outlineLevel="0" collapsed="false">
      <c r="A5" s="6" t="s">
        <v>404</v>
      </c>
      <c r="B5" s="6" t="s">
        <v>80</v>
      </c>
      <c r="C5" s="6" t="s">
        <v>405</v>
      </c>
      <c r="D5" s="6" t="s">
        <v>119</v>
      </c>
      <c r="E5" s="6" t="s">
        <v>406</v>
      </c>
      <c r="F5" s="6" t="s">
        <v>407</v>
      </c>
      <c r="G5" s="6" t="s">
        <v>80</v>
      </c>
      <c r="H5" s="5" t="s">
        <v>2</v>
      </c>
      <c r="I5" s="6" t="s">
        <v>394</v>
      </c>
      <c r="J5" s="6" t="s">
        <v>27</v>
      </c>
    </row>
    <row r="6" customFormat="false" ht="15" hidden="false" customHeight="false" outlineLevel="0" collapsed="false">
      <c r="A6" s="4" t="s">
        <v>408</v>
      </c>
      <c r="B6" s="4" t="s">
        <v>409</v>
      </c>
      <c r="C6" s="4" t="s">
        <v>410</v>
      </c>
      <c r="D6" s="4" t="s">
        <v>411</v>
      </c>
      <c r="E6" s="4" t="s">
        <v>412</v>
      </c>
      <c r="F6" s="4" t="s">
        <v>413</v>
      </c>
      <c r="G6" s="4" t="s">
        <v>409</v>
      </c>
      <c r="H6" s="7" t="s">
        <v>3</v>
      </c>
      <c r="I6" s="4" t="s">
        <v>394</v>
      </c>
      <c r="J6" s="4" t="s">
        <v>27</v>
      </c>
    </row>
    <row r="7" customFormat="false" ht="15" hidden="false" customHeight="false" outlineLevel="0" collapsed="false">
      <c r="A7" s="6" t="s">
        <v>414</v>
      </c>
      <c r="B7" s="6" t="s">
        <v>409</v>
      </c>
      <c r="C7" s="6" t="s">
        <v>415</v>
      </c>
      <c r="D7" s="6" t="s">
        <v>119</v>
      </c>
      <c r="E7" s="6" t="s">
        <v>416</v>
      </c>
      <c r="F7" s="6" t="s">
        <v>417</v>
      </c>
      <c r="G7" s="6" t="s">
        <v>409</v>
      </c>
      <c r="H7" s="7" t="s">
        <v>3</v>
      </c>
      <c r="I7" s="6" t="s">
        <v>394</v>
      </c>
      <c r="J7" s="6" t="s">
        <v>27</v>
      </c>
    </row>
    <row r="8" customFormat="false" ht="15" hidden="false" customHeight="false" outlineLevel="0" collapsed="false">
      <c r="A8" s="4" t="s">
        <v>418</v>
      </c>
      <c r="B8" s="4" t="s">
        <v>419</v>
      </c>
      <c r="C8" s="4" t="s">
        <v>420</v>
      </c>
      <c r="D8" s="4" t="s">
        <v>119</v>
      </c>
      <c r="E8" s="4" t="s">
        <v>421</v>
      </c>
      <c r="F8" s="4" t="s">
        <v>422</v>
      </c>
      <c r="G8" s="4" t="s">
        <v>423</v>
      </c>
      <c r="H8" s="7" t="s">
        <v>3</v>
      </c>
      <c r="I8" s="4" t="s">
        <v>394</v>
      </c>
      <c r="J8" s="4" t="s">
        <v>27</v>
      </c>
    </row>
    <row r="9" customFormat="false" ht="15" hidden="false" customHeight="false" outlineLevel="0" collapsed="false">
      <c r="A9" s="6" t="s">
        <v>424</v>
      </c>
      <c r="B9" s="6" t="s">
        <v>419</v>
      </c>
      <c r="C9" s="6" t="s">
        <v>425</v>
      </c>
      <c r="D9" s="6" t="s">
        <v>119</v>
      </c>
      <c r="E9" s="6" t="s">
        <v>426</v>
      </c>
      <c r="F9" s="6" t="s">
        <v>427</v>
      </c>
      <c r="G9" s="6" t="s">
        <v>423</v>
      </c>
      <c r="H9" s="7" t="s">
        <v>3</v>
      </c>
      <c r="I9" s="6" t="s">
        <v>394</v>
      </c>
      <c r="J9" s="6" t="s">
        <v>27</v>
      </c>
    </row>
    <row r="10" customFormat="false" ht="15" hidden="false" customHeight="false" outlineLevel="0" collapsed="false">
      <c r="A10" s="4" t="s">
        <v>428</v>
      </c>
      <c r="B10" s="4" t="s">
        <v>429</v>
      </c>
      <c r="C10" s="4" t="s">
        <v>430</v>
      </c>
      <c r="D10" s="4" t="s">
        <v>119</v>
      </c>
      <c r="E10" s="4" t="s">
        <v>431</v>
      </c>
      <c r="F10" s="4" t="s">
        <v>432</v>
      </c>
      <c r="G10" s="4" t="s">
        <v>423</v>
      </c>
      <c r="H10" s="7" t="s">
        <v>3</v>
      </c>
      <c r="I10" s="4" t="s">
        <v>394</v>
      </c>
      <c r="J10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2026-05-07T08:52:43Z</dcterms:created>
  <dc:creator>openpyxl</dc:creator>
  <dc:description/>
  <dc:language>en-US</dc:language>
  <cp:lastModifiedBy/>
  <dcterms:modified xsi:type="dcterms:W3CDTF">2026-05-07T08:52:43Z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